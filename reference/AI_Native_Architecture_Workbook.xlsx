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Architecture_Overview" sheetId="1" r:id="rId4"/>
    <sheet state="visible" name="01_Document_Registry" sheetId="2" r:id="rId5"/>
    <sheet state="visible" name="02_L1_GraphRAG_Spec" sheetId="3" r:id="rId6"/>
    <sheet state="visible" name="03_L5_Agent_Specs" sheetId="4" r:id="rId7"/>
    <sheet state="visible" name="04_L4_Skills_Workflows" sheetId="5" r:id="rId8"/>
    <sheet state="visible" name="05_L2L3_Memory_Tools" sheetId="6" r:id="rId9"/>
    <sheet state="visible" name="06_Roadmap_Governance" sheetId="7" r:id="rId10"/>
    <sheet state="visible" name="07_Dashboard" sheetId="8" r:id="rId11"/>
  </sheets>
  <definedNames/>
  <calcPr/>
  <extLst>
    <ext uri="GoogleSheetsCustomDataVersion2">
      <go:sheetsCustomData xmlns:go="http://customooxmlschemas.google.com/" r:id="rId12" roundtripDataChecksum="eMDslzwqn9u+u/IFdIKJtSGL8Jm9LFoIPgZabCv0xCE="/>
    </ext>
  </extLst>
</workbook>
</file>

<file path=xl/sharedStrings.xml><?xml version="1.0" encoding="utf-8"?>
<sst xmlns="http://schemas.openxmlformats.org/spreadsheetml/2006/main" count="1019" uniqueCount="737">
  <si>
    <t>AI-NATIVE ENTERPRISE ARCHITECTURE  ·  PROFESSIONAL SERVICES (CORPORATE SERVICE PROVIDER)</t>
  </si>
  <si>
    <t>Department OS · Full 6-Layer Stack · Document Registry · Spec Requirements</t>
  </si>
  <si>
    <t>#</t>
  </si>
  <si>
    <t>Layer</t>
  </si>
  <si>
    <t>Name</t>
  </si>
  <si>
    <t>Purpose / Function</t>
  </si>
  <si>
    <t>Primary Outputs</t>
  </si>
  <si>
    <t>Key Gap (most cos miss)</t>
  </si>
  <si>
    <t>Priority</t>
  </si>
  <si>
    <t>Owner Type</t>
  </si>
  <si>
    <t>Doc Template</t>
  </si>
  <si>
    <t>L6</t>
  </si>
  <si>
    <t>Interaction Surface</t>
  </si>
  <si>
    <t>All touchpoints between humans and the AI system: client portal, internal chat, email, API endpoints, embedded widgets</t>
  </si>
  <si>
    <t>UX_SPEC.md per channel; channel capability matrix; fallback/escalation map</t>
  </si>
  <si>
    <t>Inconsistent channel behavior; no defined fallback when agent fails</t>
  </si>
  <si>
    <t>HIGH</t>
  </si>
  <si>
    <t>Product / Design</t>
  </si>
  <si>
    <t>UX_SPEC.md</t>
  </si>
  <si>
    <t>L5</t>
  </si>
  <si>
    <t>Agent Layer</t>
  </si>
  <si>
    <t>Named agents with defined roles, tool permissions, memory access, and escalation logic. Orchestrator routes to specialist sub-agents</t>
  </si>
  <si>
    <t>AGENT_SPEC.md per agent; inter-agent routing map; audit log schema</t>
  </si>
  <si>
    <t>No orchestration logic; agents are isolated and can't hand off</t>
  </si>
  <si>
    <t>AI / Engineering</t>
  </si>
  <si>
    <t>AGENT_SPEC.md</t>
  </si>
  <si>
    <t>L4</t>
  </si>
  <si>
    <t>Skill &amp; Workflow Layer</t>
  </si>
  <si>
    <t>Atomic, reusable capabilities (SKILL.md) composed into multi-step workflows with human-in-the-loop gates and eval test cases</t>
  </si>
  <si>
    <t>SKILL.md files; WORKFLOW.md; EVAL.json per skill; prompt library</t>
  </si>
  <si>
    <t>No eval system; skills deployed without correctness checks</t>
  </si>
  <si>
    <t>Operations / AI</t>
  </si>
  <si>
    <t>SKILL.md + WORKFLOW.md</t>
  </si>
  <si>
    <t>L3</t>
  </si>
  <si>
    <t>Integration &amp; Tool Layer</t>
  </si>
  <si>
    <t>All external connections: MCP servers, CRM, document systems, regulatory data feeds, registry APIs, banking APIs</t>
  </si>
  <si>
    <t>TOOL_REGISTRY.md; permission matrix; auth credential map; rate limit log</t>
  </si>
  <si>
    <t>No tool governance; any agent can call any tool with no audit trail</t>
  </si>
  <si>
    <t>MEDIUM</t>
  </si>
  <si>
    <t>Engineering / IT</t>
  </si>
  <si>
    <t>TOOL_REGISTRY.md</t>
  </si>
  <si>
    <t>L2</t>
  </si>
  <si>
    <t>Memory &amp; Context Layer</t>
  </si>
  <si>
    <t>Four memory types: episodic (per-client session history), semantic (SOPs, procedures), procedural (skill execution patterns), working (in-flight context)</t>
  </si>
  <si>
    <t>MEMORY_SCHEMA.md; retention policy; context window management rules</t>
  </si>
  <si>
    <t>No persistent memory; each session starts cold with zero context</t>
  </si>
  <si>
    <t>MEMORY_SCHEMA.md</t>
  </si>
  <si>
    <t>L1</t>
  </si>
  <si>
    <t>Knowledge Foundation
(GraphRAG)</t>
  </si>
  <si>
    <t>Entity graph + relationship graph + document corpus indexed for graph-aware retrieval. Critical for professional services: ownership chains, jurisdiction rules, conflict-of-interest paths cannot be answered by flat vector search</t>
  </si>
  <si>
    <t>GRAPH_SCHEMA.md; CORPUS_INDEX.md; entity taxonomy; relationship type registry</t>
  </si>
  <si>
    <t>Using vanilla RAG on flat documents — loses all relational/jurisdictional reasoning</t>
  </si>
  <si>
    <t>CRITICAL</t>
  </si>
  <si>
    <t>Data / Knowledge</t>
  </si>
  <si>
    <t>GRAPH_SCHEMA.md</t>
  </si>
  <si>
    <t>Cross-cutting documents (not layer-specific):  DEPARTMENT_OS_MAP.md  —  master index linking all layers and teams  |  GOVERNANCE.md  —  approval matrix, change management, audit trail, AI policy</t>
  </si>
  <si>
    <t>DOCUMENT REGISTRY  ·  AI-Native Architecture — All 8 Document Types</t>
  </si>
  <si>
    <t>Every document maps to one or more architecture layers. Each has defined owner, trigger, required sections, and validation criteria.</t>
  </si>
  <si>
    <t>Document Type</t>
  </si>
  <si>
    <t>Layer(s)</t>
  </si>
  <si>
    <t>Format</t>
  </si>
  <si>
    <t>Owner Role</t>
  </si>
  <si>
    <t>Trigger (when to create/update)</t>
  </si>
  <si>
    <t>Required Sections</t>
  </si>
  <si>
    <t>Validation Criteria</t>
  </si>
  <si>
    <t>Review Cadence</t>
  </si>
  <si>
    <t>Status</t>
  </si>
  <si>
    <t>Markdown</t>
  </si>
  <si>
    <t>New channel added OR interaction pattern changes</t>
  </si>
  <si>
    <t>Channel description · Input/output contract · Fallback behavior · Escalation triggers · Example conversation flows · Error messages</t>
  </si>
  <si>
    <t>Every channel has defined fallback · No undefined error states · Escalation paths tested</t>
  </si>
  <si>
    <t>Per channel launch</t>
  </si>
  <si>
    <t>Template</t>
  </si>
  <si>
    <t>Markdown + YAML</t>
  </si>
  <si>
    <t>AI Lead / Eng</t>
  </si>
  <si>
    <t>New agent deployed OR agent role changes OR tool permissions change</t>
  </si>
  <si>
    <t>Agent name &amp; role · System prompt (versioned) · Tool access list · Memory read/write scope · Escalation rules · Inter-agent routing · Risk level · Audit log requirements</t>
  </si>
  <si>
    <t>No undefined tool permissions · Escalation always reachable · Risk level matches approval gate</t>
  </si>
  <si>
    <t>Per agent deploy</t>
  </si>
  <si>
    <t>SKILL.md</t>
  </si>
  <si>
    <t>New repeatable task identified OR skill behavior changes</t>
  </si>
  <si>
    <t>name (identifier) · description (trigger phrases) · input format · output format · step-by-step logic · dependencies · human-in-loop gates · eval criteria</t>
  </si>
  <si>
    <t>Trigger phrases tested against eval set · Input/output formats machine-parseable · Zero ambiguous steps</t>
  </si>
  <si>
    <t>Per skill change</t>
  </si>
  <si>
    <t>WORKFLOW.md</t>
  </si>
  <si>
    <t>Markdown + Mermaid</t>
  </si>
  <si>
    <t>Operations</t>
  </si>
  <si>
    <t>Multi-step process involving &gt;1 skill or &gt;1 agent</t>
  </si>
  <si>
    <t>Workflow name · Trigger · Steps (skill/agent/human) · Decision gates · Inputs per step · Outputs per step · Error handling · SLA/timeout</t>
  </si>
  <si>
    <t>Every step has defined owner · All gates have accept/reject criteria · Error paths documented</t>
  </si>
  <si>
    <t>Per workflow change</t>
  </si>
  <si>
    <t>EVAL.json</t>
  </si>
  <si>
    <t>JSON</t>
  </si>
  <si>
    <t>AI / QA</t>
  </si>
  <si>
    <t>After every SKILL.md or WORKFLOW.md is created or updated</t>
  </si>
  <si>
    <t>skill_id · test_cases (input + expected_output + pass_criteria) · baseline_score · current_score · last_run_date · failure_log</t>
  </si>
  <si>
    <t>≥10 test cases per skill · Pass rate ≥ 90% before deploy · Regression check on every update</t>
  </si>
  <si>
    <t>Every deploy</t>
  </si>
  <si>
    <t>Markdown + Table</t>
  </si>
  <si>
    <t>New tool/MCP server added OR permissions change</t>
  </si>
  <si>
    <t>Tool name · Type (MCP / API / internal) · Auth method · Agents permitted · Data accessed · Rate limits · Fallback if unavailable · Cost per call</t>
  </si>
  <si>
    <t>Every agent references only registered tools · Auth credentials documented · Rate limits enforced</t>
  </si>
  <si>
    <t>Monthly audit</t>
  </si>
  <si>
    <t>Markdown + JSON Schema</t>
  </si>
  <si>
    <t>Memory architecture designed OR retention policy changes</t>
  </si>
  <si>
    <t>Memory types (episodic / semantic / procedural / working) · Schema per type · Retention policy · Access control · Indexing strategy · PII handling</t>
  </si>
  <si>
    <t>Retention periods comply with data policy · PII fields masked · All 4 memory types defined</t>
  </si>
  <si>
    <t>Quarterly review</t>
  </si>
  <si>
    <t>Knowledge graph initialized OR new entity/relationship type added</t>
  </si>
  <si>
    <t>Entity types (with properties) · Relationship types (with directionality + cardinality) · Source corpus · Indexing pipeline · Query patterns · Update cadence · Conflict resolution</t>
  </si>
  <si>
    <t>All entity types have unique identifiers · Relationship types have defined direction · Query patterns validated against sample data</t>
  </si>
  <si>
    <t>Per schema change</t>
  </si>
  <si>
    <t>CORPUS_INDEX.md</t>
  </si>
  <si>
    <t>New document source added to knowledge base</t>
  </si>
  <si>
    <t>Source name · Document type · Jurisdiction scope · Update frequency · Indexing method · Quality score · Last updated · Responsible owner</t>
  </si>
  <si>
    <t>Every source has defined update owner · Stale threshold defined · Deduplication strategy documented</t>
  </si>
  <si>
    <t>Monthly</t>
  </si>
  <si>
    <t>DEPARTMENT_OS_MAP.md</t>
  </si>
  <si>
    <t>L1–L6</t>
  </si>
  <si>
    <t>Chief of Staff / AI Lead</t>
  </si>
  <si>
    <t>Quarterly review OR major architecture change</t>
  </si>
  <si>
    <t>Department name · Layer inventory (links to all docs) · Agent roster · Skill count · Workflow count · Knowledge graph status · Open gaps · Roadmap</t>
  </si>
  <si>
    <t>All layers have at least one document · No orphaned skills or agents · Roadmap aligned to business goals</t>
  </si>
  <si>
    <t>Quarterly</t>
  </si>
  <si>
    <t>GOVERNANCE.md</t>
  </si>
  <si>
    <t>Cross-cutting</t>
  </si>
  <si>
    <t>Legal / Compliance / AI Lead</t>
  </si>
  <si>
    <t>AI system goes live OR policy changes OR incident occurs</t>
  </si>
  <si>
    <t>Approval matrix · Change management process · Incident response · Audit trail requirements · AI use policy · Data retention · Human override procedures</t>
  </si>
  <si>
    <t>Every agent has named approver · Incident response tested · Audit logs retained per policy</t>
  </si>
  <si>
    <t>Bi-annual + incident-driven</t>
  </si>
  <si>
    <t>L1 — GRAPHRAG SPECIFICATION  ·  Entity Types · Relationship Types · Query Patterns · Document Corpus</t>
  </si>
  <si>
    <t>Why GraphRAG for corporate services: clients, jurisdictions, ownership chains, and compliance rules form a dense relationship graph that flat vector search cannot traverse correctly.</t>
  </si>
  <si>
    <t>A — ENTITY TYPES</t>
  </si>
  <si>
    <t>Entity Type</t>
  </si>
  <si>
    <t>Properties (required)</t>
  </si>
  <si>
    <t>Properties (optional)</t>
  </si>
  <si>
    <t>Source System</t>
  </si>
  <si>
    <t>Uniqueness Key</t>
  </si>
  <si>
    <t>Update Trigger</t>
  </si>
  <si>
    <t>Notes</t>
  </si>
  <si>
    <t>Client</t>
  </si>
  <si>
    <t>client_id, full_legal_name, incorporation_date, jurisdiction_of_incorp</t>
  </si>
  <si>
    <t>trade_name, parent_entity_id, industry_code, risk_rating</t>
  </si>
  <si>
    <t>CRM / Salesforce</t>
  </si>
  <si>
    <t>client_id</t>
  </si>
  <si>
    <t>On onboarding or KYC refresh</t>
  </si>
  <si>
    <t>Root entity — all mandates hang off this</t>
  </si>
  <si>
    <t>Individual</t>
  </si>
  <si>
    <t>individual_id, full_name, nationality, date_of_birth, passport_number</t>
  </si>
  <si>
    <t>tax_id, PEP_flag, sanction_flag, address_current</t>
  </si>
  <si>
    <t>KYC system</t>
  </si>
  <si>
    <t>individual_id</t>
  </si>
  <si>
    <t>On onboarding or AML review</t>
  </si>
  <si>
    <t>Directors, shareholders, UBOs all share this type</t>
  </si>
  <si>
    <t>Jurisdiction</t>
  </si>
  <si>
    <t>jurisdiction_code (ISO 3166), full_name, legal_system_type</t>
  </si>
  <si>
    <t>tax_treaty_list, FATF_status, substance_requirements</t>
  </si>
  <si>
    <t>Regulatory feed / manual</t>
  </si>
  <si>
    <t>jurisdiction_code</t>
  </si>
  <si>
    <t>On regulatory change</t>
  </si>
  <si>
    <t>Core to all compliance queries</t>
  </si>
  <si>
    <t>Legal_Entity</t>
  </si>
  <si>
    <t>entity_id, entity_type (LLC/Ltd/Foundation etc), registered_name, registered_number</t>
  </si>
  <si>
    <t>registered_address, filing_status, share_capital</t>
  </si>
  <si>
    <t>Registry APIs / CRM</t>
  </si>
  <si>
    <t>registered_number + jurisdiction_code</t>
  </si>
  <si>
    <t>On incorporation or change</t>
  </si>
  <si>
    <t>Can be child or parent of Client</t>
  </si>
  <si>
    <t>Service_Mandate</t>
  </si>
  <si>
    <t>mandate_id, service_type, start_date, status</t>
  </si>
  <si>
    <t>end_date, renewal_date, fee_schedule_id, assigned_officer</t>
  </si>
  <si>
    <t>CRM</t>
  </si>
  <si>
    <t>mandate_id</t>
  </si>
  <si>
    <t>On engagement or status change</t>
  </si>
  <si>
    <t>Links Client to Service_Type to Officer</t>
  </si>
  <si>
    <t>Service_Type</t>
  </si>
  <si>
    <t>service_code, service_name, category</t>
  </si>
  <si>
    <t>required_jurisdictions, typical_timeline, compliance_requirements</t>
  </si>
  <si>
    <t>Internal product catalog</t>
  </si>
  <si>
    <t>service_code</t>
  </si>
  <si>
    <t>On product change</t>
  </si>
  <si>
    <t>Formation · Banking intro · Accounting · Compliance etc</t>
  </si>
  <si>
    <t>Regulator</t>
  </si>
  <si>
    <t>regulator_id, name, jurisdiction_code, authority_type</t>
  </si>
  <si>
    <t>contact_portal, reporting_deadlines, key_regulations</t>
  </si>
  <si>
    <t>Manual / regulatory feed</t>
  </si>
  <si>
    <t>regulator_id</t>
  </si>
  <si>
    <t>Annual review</t>
  </si>
  <si>
    <t>Linked to Jurisdiction and Service_Type</t>
  </si>
  <si>
    <t>Document</t>
  </si>
  <si>
    <t>doc_id, doc_type, issue_date, issuing_authority</t>
  </si>
  <si>
    <t>expiry_date, related_entity_id, file_ref</t>
  </si>
  <si>
    <t>DMS / Drive</t>
  </si>
  <si>
    <t>doc_id</t>
  </si>
  <si>
    <t>On document upload or expiry</t>
  </si>
  <si>
    <t>Certs of Incorp, UBO declarations, bank letters etc</t>
  </si>
  <si>
    <t>Bank_Account</t>
  </si>
  <si>
    <t>account_id, bank_name, jurisdiction_code, account_type, status</t>
  </si>
  <si>
    <t>currency, iban, swift, opening_date</t>
  </si>
  <si>
    <t>Banking intro CRM</t>
  </si>
  <si>
    <t>account_id</t>
  </si>
  <si>
    <t>On account open/close</t>
  </si>
  <si>
    <t>Linked to Legal_Entity and Service_Mandate</t>
  </si>
  <si>
    <t>Officer</t>
  </si>
  <si>
    <t>officer_id, name, role_type (director/secretary/nominee)</t>
  </si>
  <si>
    <t>effective_date, resignation_date, entity_id</t>
  </si>
  <si>
    <t>Registry / CRM</t>
  </si>
  <si>
    <t>officer_id + entity_id</t>
  </si>
  <si>
    <t>On appointment/change</t>
  </si>
  <si>
    <t>Individual acting as officer of Legal_Entity</t>
  </si>
  <si>
    <t>B — RELATIONSHIP TYPES</t>
  </si>
  <si>
    <t>Relationship Type</t>
  </si>
  <si>
    <t>From Entity</t>
  </si>
  <si>
    <t>To Entity</t>
  </si>
  <si>
    <t>Cardinality</t>
  </si>
  <si>
    <t>Properties</t>
  </si>
  <si>
    <t>Business Meaning</t>
  </si>
  <si>
    <t>Query Example</t>
  </si>
  <si>
    <t>OWNS</t>
  </si>
  <si>
    <t>Individual / Legal_Entity</t>
  </si>
  <si>
    <t>Many-to-many (with ownership %)</t>
  </si>
  <si>
    <t>ownership_pct, share_class, effective_date</t>
  </si>
  <si>
    <t>Shareholding / UBO chain — traverse to find ultimate beneficial owner</t>
  </si>
  <si>
    <t>MATCH (i:Individual)-[:OWNS*1..5]-&gt;(e:Legal_Entity {id:'X'}) RETURN i</t>
  </si>
  <si>
    <t>IS_DIRECTOR_OF</t>
  </si>
  <si>
    <t>Many-to-many</t>
  </si>
  <si>
    <t>role, appointment_date, resignation_date</t>
  </si>
  <si>
    <t>Directorship — used for conflict-of-interest checks</t>
  </si>
  <si>
    <t>Find all entities where Individual X is director</t>
  </si>
  <si>
    <t>IS_UBO_OF</t>
  </si>
  <si>
    <t>Many-to-many (threshold ≥25%)</t>
  </si>
  <si>
    <t>beneficial_pct, declaration_date</t>
  </si>
  <si>
    <t>Ultimate beneficial ownership — direct or derived via OWNS chain</t>
  </si>
  <si>
    <t>MATCH (i)-[:IS_UBO_OF]-&gt;(e) WHERE e.risk_rating='HIGH'</t>
  </si>
  <si>
    <t>INCORPORATED_IN</t>
  </si>
  <si>
    <t>Many-to-one</t>
  </si>
  <si>
    <t>incorporation_date, registration_number</t>
  </si>
  <si>
    <t>Links entity to its home jurisdiction and its regulator</t>
  </si>
  <si>
    <t>Find all clients incorporated in BVI with banking in CH</t>
  </si>
  <si>
    <t>HAS_MANDATE</t>
  </si>
  <si>
    <t>One-to-many</t>
  </si>
  <si>
    <t>signed_date, fee, currency</t>
  </si>
  <si>
    <t>Active service engagements — filter by status for pipeline</t>
  </si>
  <si>
    <t>Find all active mandates for accounting service expiring Q1</t>
  </si>
  <si>
    <t>HOLDS_ACCOUNT_AT</t>
  </si>
  <si>
    <t>opening_date, primary_flag</t>
  </si>
  <si>
    <t>Bank relationship — for banking intro and compliance reporting</t>
  </si>
  <si>
    <t>Find entities with no active bank account after 6 months</t>
  </si>
  <si>
    <t>GOVERNED_BY</t>
  </si>
  <si>
    <t>Legal_Entity / Service_Type</t>
  </si>
  <si>
    <t>regulation_ref, effective_date</t>
  </si>
  <si>
    <t>Compliance jurisdiction mapping</t>
  </si>
  <si>
    <t>Which regulators apply to a Singapore-incorporated fund?</t>
  </si>
  <si>
    <t>CONFLICTS_WITH</t>
  </si>
  <si>
    <t>conflict_type, identified_date, resolution_status</t>
  </si>
  <si>
    <t>Conflict of interest — blocks new mandates until resolved</t>
  </si>
  <si>
    <t>Before onboarding: MATCH conflict paths between new client and existing</t>
  </si>
  <si>
    <t>RELATED_DOCUMENT</t>
  </si>
  <si>
    <t>Any entity</t>
  </si>
  <si>
    <t>doc_role (e.g. cert_of_incorp, bank_letter)</t>
  </si>
  <si>
    <t>Links entities to their supporting documents</t>
  </si>
  <si>
    <t>Find all expired documents for entities in Annual Return due list</t>
  </si>
  <si>
    <t>REFERS_TO</t>
  </si>
  <si>
    <t>Jurisdiction / Regulator / Service_Type</t>
  </si>
  <si>
    <t>reference_type, section</t>
  </si>
  <si>
    <t>Connects regulatory documents to the entities they govern</t>
  </si>
  <si>
    <t>Find all documents that reference FATF Recommendation 24</t>
  </si>
  <si>
    <t>C — CANONICAL QUERY PATTERNS  (business questions the graph must answer)</t>
  </si>
  <si>
    <t>Business Question</t>
  </si>
  <si>
    <t>Entities Traversed</t>
  </si>
  <si>
    <t>Relationship Path</t>
  </si>
  <si>
    <t>Output</t>
  </si>
  <si>
    <t>Vanilla RAG fails because…</t>
  </si>
  <si>
    <t>Agent that uses this</t>
  </si>
  <si>
    <t>Who is the Ultimate Beneficial Owner of Client X?</t>
  </si>
  <si>
    <t>Client → Legal_Entity → Individual</t>
  </si>
  <si>
    <t>OWNS (multi-hop, up to 5 levels)</t>
  </si>
  <si>
    <t>Individual(s) with ≥25% beneficial ownership</t>
  </si>
  <si>
    <t>Ownership chain is in multiple documents; flat search cannot traverse hops</t>
  </si>
  <si>
    <t>Compliance agent</t>
  </si>
  <si>
    <t>Does Individual Y appear in any existing client structure before onboarding?</t>
  </si>
  <si>
    <t>Individual → Legal_Entity → Client</t>
  </si>
  <si>
    <t>IS_DIRECTOR_OF / IS_UBO_OF / OWNS</t>
  </si>
  <si>
    <t>Existing client connections + conflict flag</t>
  </si>
  <si>
    <t>Individual may be named differently across docs; graph uses entity IDs</t>
  </si>
  <si>
    <t>Which mandates are due for renewal in the next 90 days?</t>
  </si>
  <si>
    <t>Client → Service_Mandate</t>
  </si>
  <si>
    <t>HAS_MANDATE (filter on renewal_date)</t>
  </si>
  <si>
    <t>Mandate list with client name, service type, officer</t>
  </si>
  <si>
    <t>Dates scattered across CRM and documents; no unified retrieval</t>
  </si>
  <si>
    <t>Orchestrator + Operations agent</t>
  </si>
  <si>
    <t>Which jurisdiction rules apply to a Singapore-incorporated fund selling to EU investors?</t>
  </si>
  <si>
    <t>Jurisdiction → Regulator → Document</t>
  </si>
  <si>
    <t>INCORPORATED_IN + GOVERNED_BY + REFERS_TO</t>
  </si>
  <si>
    <t>Regulation list per jurisdiction pair</t>
  </si>
  <si>
    <t>Multi-jurisdiction answer requires joining 3+ document sources</t>
  </si>
  <si>
    <t>Research agent</t>
  </si>
  <si>
    <t>Find all entities where Document X (passport) is expiring within 30 days</t>
  </si>
  <si>
    <t>Document → Individual → Legal_Entity / Officer</t>
  </si>
  <si>
    <t>RELATED_DOCUMENT (filter expiry_date)</t>
  </si>
  <si>
    <t>Entity list + contact details + responsible officer</t>
  </si>
  <si>
    <t>Expiry info is buried in unstructured document fields</t>
  </si>
  <si>
    <t>What banking options exist for a UAE-resident setting up a BVI company?</t>
  </si>
  <si>
    <t>Jurisdiction → Bank_Account → Legal_Entity</t>
  </si>
  <si>
    <t>INCORPORATED_IN + HOLDS_ACCOUNT_AT (filter by client profile)</t>
  </si>
  <si>
    <t>Bank shortlist with success rate from mandate history</t>
  </si>
  <si>
    <t>Answer requires combining jurisdiction rules + historical success data</t>
  </si>
  <si>
    <t>Generate a group structure chart for Client X</t>
  </si>
  <si>
    <t>Client → Legal_Entity (all layers) → Individual</t>
  </si>
  <si>
    <t>OWNS + IS_DIRECTOR_OF + IS_UBO_OF (full subgraph)</t>
  </si>
  <si>
    <t>Hierarchical ownership diagram data</t>
  </si>
  <si>
    <t>Structure spans multiple documents with no single source of truth</t>
  </si>
  <si>
    <t>Drafting agent</t>
  </si>
  <si>
    <t>L5 — AGENT SPECIFICATIONS  ·  Role · Tools · Memory · Escalation · Risk Level</t>
  </si>
  <si>
    <t>Each agent has exactly one spec. The orchestrator routes; specialists execute. No agent should have undefined tool access or undefined escalation.</t>
  </si>
  <si>
    <t>Agent Name</t>
  </si>
  <si>
    <t>Type</t>
  </si>
  <si>
    <t>Role / Mandate</t>
  </si>
  <si>
    <t>Tools Permitted</t>
  </si>
  <si>
    <t>Memory Access</t>
  </si>
  <si>
    <t>Escalation Trigger → Target</t>
  </si>
  <si>
    <t>Risk Level</t>
  </si>
  <si>
    <t>Skills Used</t>
  </si>
  <si>
    <t>AGENT_SPEC.md Status</t>
  </si>
  <si>
    <t>Orchestrator</t>
  </si>
  <si>
    <t>Router / Planner</t>
  </si>
  <si>
    <t>Receives all inbound requests. Classifies intent, routes to specialist agents, tracks multi-step job state, assembles final response</t>
  </si>
  <si>
    <t>All agents (spawn/call), CRM read, Memory read (all types)</t>
  </si>
  <si>
    <t>Working memory (full); Episodic (client lookup); Semantic (SOP routing rules)</t>
  </si>
  <si>
    <t>Ambiguous intent → Human intake officer
Conflict of interest detected → Compliance agent
All agents fail → Human escalation</t>
  </si>
  <si>
    <t>LOW (routes only, does not execute)</t>
  </si>
  <si>
    <t>intent_classifier, client_lookup</t>
  </si>
  <si>
    <t>DRAFT</t>
  </si>
  <si>
    <t>Research Agent</t>
  </si>
  <si>
    <t>Executor — Research</t>
  </si>
  <si>
    <t>Answers jurisdiction questions, regulatory comparisons, product eligibility checks. Primary consumer of GraphRAG + web search</t>
  </si>
  <si>
    <t>GraphRAG query, Web search, Regulatory feed API, Document corpus search</t>
  </si>
  <si>
    <t>Semantic (procedures/regulations); Working memory (current query)</t>
  </si>
  <si>
    <t>Hallucination risk detected → add human review gate
Source conflict → flag for analyst</t>
  </si>
  <si>
    <t>jurisdiction_compare, regulation_lookup, entity_eligibility_check</t>
  </si>
  <si>
    <t>Drafting Agent</t>
  </si>
  <si>
    <t>Executor — Document</t>
  </si>
  <si>
    <t>Generates first-draft documents: engagement letters, structure memos, annual return notices, banking intro letters. Always human-reviewed before send</t>
  </si>
  <si>
    <t>Document templates (Drive), GraphRAG (entity data pull), CRM read</t>
  </si>
  <si>
    <t>Episodic (client history for personalization); Procedural (document templates)</t>
  </si>
  <si>
    <t>Missing required data → pause and request from human
High-risk document type → mandatory legal review gate</t>
  </si>
  <si>
    <t>MEDIUM-HIGH</t>
  </si>
  <si>
    <t>doc_draft_engagement, doc_draft_banking_intro, structure_chart_gen</t>
  </si>
  <si>
    <t>Compliance Agent</t>
  </si>
  <si>
    <t>Executor — Compliance</t>
  </si>
  <si>
    <t>Runs KYC/AML checks, UBO traversal, conflict-of-interest detection, sanction screening, document expiry monitoring</t>
  </si>
  <si>
    <t>GraphRAG (deep traversal), Sanction list API, PEP database API, CRM write (risk flags)</t>
  </si>
  <si>
    <t>Episodic (full client history); Semantic (compliance rules per jurisdiction)</t>
  </si>
  <si>
    <t>Sanctions match → immediate human escalation (no auto-action)
UBO chain &gt; 5 hops → human review
High-risk jurisdiction → compliance officer approval</t>
  </si>
  <si>
    <t>HIGH — outputs trigger blocking actions</t>
  </si>
  <si>
    <t>ubo_chain_traverse, sanctions_screen, conflict_check, doc_expiry_scan</t>
  </si>
  <si>
    <t>Operations Agent</t>
  </si>
  <si>
    <t>Executor — Internal Ops</t>
  </si>
  <si>
    <t>Handles internal workflow tasks: mandate renewal alerts, deadline tracking, officer appointment reminders, reporting package assembly</t>
  </si>
  <si>
    <t>CRM read/write, Calendar API, Email (send via human-approved template), Drive</t>
  </si>
  <si>
    <t>Episodic (mandate history); Procedural (SOP for each service type); Semantic (service deadlines)</t>
  </si>
  <si>
    <t>Missed deadline → alert human officer + escalate to manager
Action requires client signature → pause for human</t>
  </si>
  <si>
    <t>mandate_renewal_alert, deadline_tracker, report_assembly</t>
  </si>
  <si>
    <t>AGENT_SPEC.md — Required Sections Template</t>
  </si>
  <si>
    <t>1. Agent identity</t>
  </si>
  <si>
    <t>name, version, layer (L5), created_date, status (draft/active/deprecated)</t>
  </si>
  <si>
    <t>2. Role statement</t>
  </si>
  <si>
    <t>One paragraph: what this agent does, what it does NOT do, and why it exists</t>
  </si>
  <si>
    <t>3. System prompt (versioned)</t>
  </si>
  <si>
    <t>Full system prompt text, version number, change log. Stored in version control.</t>
  </si>
  <si>
    <t>4. Tool access list</t>
  </si>
  <si>
    <t>Table: tool_name | permission (read/write/execute) | max_calls_per_session | fallback_if_unavailable</t>
  </si>
  <si>
    <t>5. Memory read/write scope</t>
  </si>
  <si>
    <t>Which memory types this agent reads and writes. What it must NOT persist (e.g. PII in working memory after session ends)</t>
  </si>
  <si>
    <t>6. Input contract</t>
  </si>
  <si>
    <t>Expected input format, required fields, optional fields, validation rules</t>
  </si>
  <si>
    <t>7. Output contract</t>
  </si>
  <si>
    <t>Output format, required fields, confidence/uncertainty signaling, how errors are returned</t>
  </si>
  <si>
    <t>8. Escalation rules</t>
  </si>
  <si>
    <t>Table: trigger_condition | escalation_target | urgency | human_action_required</t>
  </si>
  <si>
    <t>9. Inter-agent routing</t>
  </si>
  <si>
    <t>Which agents this agent can spawn or call, and under what conditions</t>
  </si>
  <si>
    <t>10. Risk level + approval gate</t>
  </si>
  <si>
    <t>Risk rating, who must approve outputs before action, audit log requirement</t>
  </si>
  <si>
    <t>11. Eval criteria</t>
  </si>
  <si>
    <t>Link to EVAL.json, minimum pass rate, last tested date, regression check trigger</t>
  </si>
  <si>
    <t>L4 — SKILL CATALOG &amp; WORKFLOW REGISTRY  ·  Corporate Services — Initial Backlog</t>
  </si>
  <si>
    <t>Each row = one skill. Formula columns auto-calculate complexity score and build priority. Add WORKFLOW.md and EVAL.json links as skills are built.</t>
  </si>
  <si>
    <t>Skill Name (skill-id)</t>
  </si>
  <si>
    <t>Agent Owner</t>
  </si>
  <si>
    <t>Trigger Phrases (sample)</t>
  </si>
  <si>
    <t>Input → Output</t>
  </si>
  <si>
    <t>Tools / Dependencies</t>
  </si>
  <si>
    <t>Human Gate?</t>
  </si>
  <si>
    <t>Impact (1–5)</t>
  </si>
  <si>
    <t>Effort (1–5)</t>
  </si>
  <si>
    <t>Priority Score</t>
  </si>
  <si>
    <t>jurisdiction-compare</t>
  </si>
  <si>
    <t>Research</t>
  </si>
  <si>
    <t>"compare BVI vs Cayman" / "which jurisdiction for a fund?" / "cost comparison"</t>
  </si>
  <si>
    <t>Jurisdiction pair + client profile → structured comparison table</t>
  </si>
  <si>
    <t>GraphRAG, Web search, Regulatory feed</t>
  </si>
  <si>
    <t>No</t>
  </si>
  <si>
    <t>ubo-chain-traverse</t>
  </si>
  <si>
    <t>Compliance</t>
  </si>
  <si>
    <t>"find UBO of" / "who ultimately owns" / "beneficial owner check"</t>
  </si>
  <si>
    <t>Legal_Entity ID → UBO list with ownership percentages</t>
  </si>
  <si>
    <t>GraphRAG (multi-hop OWNS traversal)</t>
  </si>
  <si>
    <t>Yes — if chain &gt; 3 hops</t>
  </si>
  <si>
    <t>sanctions-screen</t>
  </si>
  <si>
    <t>"screen individual" / "AML check" / "PEP screening"</t>
  </si>
  <si>
    <t>Individual ID or name → PASS/FAIL + match details</t>
  </si>
  <si>
    <t>Sanctions list API, PEP database API</t>
  </si>
  <si>
    <t>Yes — any match</t>
  </si>
  <si>
    <t>conflict-check</t>
  </si>
  <si>
    <t>"conflict of interest" / "can we onboard" / "related party check"</t>
  </si>
  <si>
    <t>New client profile → conflict flag + existing connections</t>
  </si>
  <si>
    <t>GraphRAG (IS_DIRECTOR_OF, OWNS paths)</t>
  </si>
  <si>
    <t>Yes — always</t>
  </si>
  <si>
    <t>doc-draft-engagement-letter</t>
  </si>
  <si>
    <t>"draft engagement letter" / "prepare LOE" / "onboarding letter"</t>
  </si>
  <si>
    <t>Client ID + service type → engagement letter draft (Word)</t>
  </si>
  <si>
    <t>GraphRAG (client data), Drive (templates), CRM</t>
  </si>
  <si>
    <t>Yes — before send</t>
  </si>
  <si>
    <t>doc-draft-banking-intro</t>
  </si>
  <si>
    <t>"banking introduction letter" / "bank referral letter"</t>
  </si>
  <si>
    <t>Client ID + target bank → intro letter draft</t>
  </si>
  <si>
    <t>GraphRAG (entity data), Drive (templates)</t>
  </si>
  <si>
    <t>mandate-renewal-alert</t>
  </si>
  <si>
    <t>"mandates expiring" / "renewal pipeline" / "upcoming renewals"</t>
  </si>
  <si>
    <t>Date range → mandate list with client, service, renewal date, officer</t>
  </si>
  <si>
    <t>CRM (HAS_MANDATE query), Calendar API</t>
  </si>
  <si>
    <t>No — alert only</t>
  </si>
  <si>
    <t>structure-chart-gen</t>
  </si>
  <si>
    <t>"group structure" / "org chart" / "ownership diagram"</t>
  </si>
  <si>
    <t>Client ID → ownership structure diagram (data for rendering)</t>
  </si>
  <si>
    <t>GraphRAG (full subgraph OWNS + IS_DIRECTOR_OF)</t>
  </si>
  <si>
    <t>Yes — client review</t>
  </si>
  <si>
    <t>doc-expiry-scan</t>
  </si>
  <si>
    <t>"expiring documents" / "KYC refresh needed" / "expired passport"</t>
  </si>
  <si>
    <t>Date threshold → list of entities with expiring docs</t>
  </si>
  <si>
    <t>GraphRAG (RELATED_DOCUMENT filter expiry_date)</t>
  </si>
  <si>
    <t>regulation-lookup</t>
  </si>
  <si>
    <t>"what are the rules for" / "substance requirements" / "FATF status"</t>
  </si>
  <si>
    <t>Jurisdiction + topic → regulation summary with source citations</t>
  </si>
  <si>
    <t>GraphRAG (Document corpus), Web search</t>
  </si>
  <si>
    <t>entity-eligibility-check</t>
  </si>
  <si>
    <t>"can a Singapore company open account in" / "eligible for"</t>
  </si>
  <si>
    <t>Entity profile + product/service → eligibility + requirements</t>
  </si>
  <si>
    <t>GraphRAG (GOVERNED_BY + INCORPORATED_IN)</t>
  </si>
  <si>
    <t>report-assembly</t>
  </si>
  <si>
    <t>"generate monthly report" / "client portfolio summary"</t>
  </si>
  <si>
    <t>Officer ID + period → portfolio report (PDF/Excel)</t>
  </si>
  <si>
    <t>CRM, GraphRAG, Drive</t>
  </si>
  <si>
    <t>Yes — review before send</t>
  </si>
  <si>
    <t>intent-classifier</t>
  </si>
  <si>
    <t>Routing</t>
  </si>
  <si>
    <t>(internal — all inbound messages)</t>
  </si>
  <si>
    <t>Raw user message → intent label + routing target</t>
  </si>
  <si>
    <t>None (LLM classification only)</t>
  </si>
  <si>
    <t>client-lookup</t>
  </si>
  <si>
    <t>Data</t>
  </si>
  <si>
    <t>(internal — triggered on any client mention)</t>
  </si>
  <si>
    <t>Client name/ID → client profile + active mandates</t>
  </si>
  <si>
    <t>CRM, GraphRAG</t>
  </si>
  <si>
    <t>SKILL.md — Required Sections Template</t>
  </si>
  <si>
    <t>name</t>
  </si>
  <si>
    <t>Unique slug identifier, lowercase-hyphenated. Example: ubo-chain-traverse</t>
  </si>
  <si>
    <t>description</t>
  </si>
  <si>
    <t>2–3 sentences: WHAT it does, WHEN Claude should trigger it (include specific phrases). Make it slightly 'pushy' — list edge cases that should still trigger it.</t>
  </si>
  <si>
    <t>trigger_phrases</t>
  </si>
  <si>
    <t>List of ≥5 example user phrases or internal signals that should invoke this skill</t>
  </si>
  <si>
    <t>input_format</t>
  </si>
  <si>
    <t>Schema of expected input: field names, types, required/optional, validation rules</t>
  </si>
  <si>
    <t>output_format</t>
  </si>
  <si>
    <t>Schema of output: format (JSON/Markdown/docx/inline), required fields, confidence signaling</t>
  </si>
  <si>
    <t>steps</t>
  </si>
  <si>
    <t>Numbered list of what Claude should do, in order. Reference tools by name. Include conditional branches.</t>
  </si>
  <si>
    <t>dependencies</t>
  </si>
  <si>
    <t>Tools, APIs, MCP servers, other skills this skill calls. Version pin where relevant.</t>
  </si>
  <si>
    <t>human_in_loop_gates</t>
  </si>
  <si>
    <t>Exact conditions that pause execution for human review. Who reviews. How to resume.</t>
  </si>
  <si>
    <t>eval_criteria</t>
  </si>
  <si>
    <t>Link to EVAL.json. Minimum pass rate. What constitutes a correct output. Edge cases to test.</t>
  </si>
  <si>
    <t>compatibility</t>
  </si>
  <si>
    <t>Required tools, access permissions, environment assumptions</t>
  </si>
  <si>
    <t>version + changelog</t>
  </si>
  <si>
    <t>Version number, last updated date, change summary</t>
  </si>
  <si>
    <t>L2 — MEMORY SCHEMA  ·  L3 — TOOL REGISTRY &amp; GOVERNANCE</t>
  </si>
  <si>
    <t>Memory: 4 types with defined schema, retention, and PII rules.  Tools: every tool registered, permissioned, and audited before any agent can use it.</t>
  </si>
  <si>
    <t>L2 — MEMORY ARCHITECTURE</t>
  </si>
  <si>
    <t>Memory Type</t>
  </si>
  <si>
    <t>What Is Stored</t>
  </si>
  <si>
    <t>Schema (key fields)</t>
  </si>
  <si>
    <t>Retention Policy</t>
  </si>
  <si>
    <t>PII Handling</t>
  </si>
  <si>
    <t>Agents With Write Access</t>
  </si>
  <si>
    <t>Episodic Memory
(per-client session history)</t>
  </si>
  <si>
    <t>Every interaction with a specific client: questions asked, documents generated, decisions made, flags raised</t>
  </si>
  <si>
    <t>session_id, client_id, agent_id, timestamp, action_type, input_summary, output_summary, human_approved (bool)</t>
  </si>
  <si>
    <t>Retain indefinitely while client is active; archive 2 years post-mandate end; delete on client request</t>
  </si>
  <si>
    <t>Mask PII fields (passport numbers, DOB) in logs; full data in encrypted episodic store only</t>
  </si>
  <si>
    <t>Orchestrator (read/write), Compliance Agent (read/write), Drafting Agent (read), Operations Agent (read)</t>
  </si>
  <si>
    <t>Primary source for 'what did we last do for this client?' queries</t>
  </si>
  <si>
    <t>Semantic Memory
(procedures / SOPs / regulations)</t>
  </si>
  <si>
    <t>Stable knowledge: jurisdiction rules, service SOPs, compliance procedures, product catalog, fee schedules</t>
  </si>
  <si>
    <t>doc_id, doc_type, jurisdiction_scope, effective_date, content_chunks (embedded), last_updated</t>
  </si>
  <si>
    <t>Version-controlled; no deletion — superseded versions archived. Update on regulatory change.</t>
  </si>
  <si>
    <t>No PII — purely procedural/regulatory content</t>
  </si>
  <si>
    <t>Research Agent (read), Compliance Agent (read), Operations Agent (read)
AI Lead (write)</t>
  </si>
  <si>
    <t>This is the 'brain' of the firm's operational knowledge; feeds into GraphRAG corpus</t>
  </si>
  <si>
    <t>Procedural Memory
(skill execution patterns)</t>
  </si>
  <si>
    <t>How to run each skill: step sequences, tool call patterns, observed failure modes and workarounds</t>
  </si>
  <si>
    <t>skill_id, execution_pattern, success_rate, common_failures, last_optimized</t>
  </si>
  <si>
    <t>Update after every 100 skill executions or on skill version change</t>
  </si>
  <si>
    <t>No PII</t>
  </si>
  <si>
    <t>All agents (read); AI Lead (write after review)</t>
  </si>
  <si>
    <t>Used to improve skill performance over time; basis for eval regression checks</t>
  </si>
  <si>
    <t>Working Memory
(in-flight context)</t>
  </si>
  <si>
    <t>Current session state: parsed intent, intermediate results, tool outputs, conversation history for current job</t>
  </si>
  <si>
    <t>job_id, session_id, current_step, tool_outputs (temp), conversation_turns (last 20)</t>
  </si>
  <si>
    <t>Ephemeral — cleared at end of session or after 24h inactivity</t>
  </si>
  <si>
    <t>PII permitted during session but MUST be purged at session close; never persisted to long-term store</t>
  </si>
  <si>
    <t>All agents (read/write during session)</t>
  </si>
  <si>
    <t>Context window management rules live here: max tokens, summarization triggers, handoff format</t>
  </si>
  <si>
    <t>L3 — TOOL REGISTRY &amp; GOVERNANCE</t>
  </si>
  <si>
    <t>Tool Name</t>
  </si>
  <si>
    <t>Auth Method</t>
  </si>
  <si>
    <t>Agents Permitted (and permission level)</t>
  </si>
  <si>
    <t>Data Accessed / Written</t>
  </si>
  <si>
    <t>Rate Limit / Cost</t>
  </si>
  <si>
    <t>Fallback If Unavailable</t>
  </si>
  <si>
    <t>GraphRAG Query Engine</t>
  </si>
  <si>
    <t>Internal / Knowledge</t>
  </si>
  <si>
    <t>Internal API key (per-agent scoped)</t>
  </si>
  <si>
    <t>All agents (READ only)
Compliance Agent (READ — deep traversal)
AI Lead (ADMIN — schema changes)</t>
  </si>
  <si>
    <t>Entity graph, relationship graph, document corpus. NO write from agents.</t>
  </si>
  <si>
    <t>No rate limit (internal); query cost monitored for optimization</t>
  </si>
  <si>
    <t>Fallback to flat vector search on document corpus (degraded — flag to user)</t>
  </si>
  <si>
    <t>Salesforce CRM</t>
  </si>
  <si>
    <t>MCP Server — CRM</t>
  </si>
  <si>
    <t>OAuth 2.0, per-agent service account</t>
  </si>
  <si>
    <t>Orchestrator (READ — client lookup)
Operations Agent (READ/WRITE — mandate updates)
Compliance Agent (WRITE — risk flags only)</t>
  </si>
  <si>
    <t>Client records, mandate records, contact data, risk ratings. PII present.</t>
  </si>
  <si>
    <t>500 API calls/hour per agent; excess → queue</t>
  </si>
  <si>
    <t>Cache last 24h read; queue writes; alert human if write backlog &gt; 10</t>
  </si>
  <si>
    <t>Google Drive / Docs</t>
  </si>
  <si>
    <t>MCP Server — DMS</t>
  </si>
  <si>
    <t>OAuth 2.0, service account per department</t>
  </si>
  <si>
    <t>Drafting Agent (READ templates, WRITE drafts to staging folder)
Operations Agent (READ/WRITE reports)</t>
  </si>
  <si>
    <t>Document templates, generated drafts. No CRM data written to Drive.</t>
  </si>
  <si>
    <t>No meaningful rate limit at current scale</t>
  </si>
  <si>
    <t>Local template cache for Drafting Agent; manual upload if Drive unavailable</t>
  </si>
  <si>
    <t>Web Search</t>
  </si>
  <si>
    <t>External API</t>
  </si>
  <si>
    <t>API key (shared, monitored)</t>
  </si>
  <si>
    <t>Research Agent (READ)
Compliance Agent (READ — regulatory news)</t>
  </si>
  <si>
    <t>Public web content only. Must not be used to exfiltrate internal data.</t>
  </si>
  <si>
    <t>100 calls/hour; cost ~$0.01/call. Research Agent priority.</t>
  </si>
  <si>
    <t>Return cached result with staleness warning; flag to human for time-sensitive queries</t>
  </si>
  <si>
    <t>Sanctions List API
(e.g. Dow Jones / ComplyAdvantage)</t>
  </si>
  <si>
    <t>External Compliance API</t>
  </si>
  <si>
    <t>API key — compliance team owns credential</t>
  </si>
  <si>
    <t>Compliance Agent (READ only)
No other agent permitted</t>
  </si>
  <si>
    <t>Individual/entity names screened against sanctions, PEP, adverse media lists</t>
  </si>
  <si>
    <t>Per-screen pricing (~$0.10–0.50/screen); monthly budget cap = [INPUT]</t>
  </si>
  <si>
    <t>BLOCK action — no sanction check = no onboarding. Human must manually screen.</t>
  </si>
  <si>
    <t>Calendar / Email API</t>
  </si>
  <si>
    <t>MCP Server — Communication</t>
  </si>
  <si>
    <t>OAuth 2.0, per-officer delegated access</t>
  </si>
  <si>
    <t>Operations Agent (READ calendar, WRITE draft emails to staging — NOT send)
No agent can send email directly</t>
  </si>
  <si>
    <t>Calendar events, email drafts. All email sends require human approval.</t>
  </si>
  <si>
    <t>Standard API limits; email sends are human-gated so volume low</t>
  </si>
  <si>
    <t>Queue calendar events; human sends email manually</t>
  </si>
  <si>
    <t>Registry APIs
(per-jurisdiction: BVI, Cayman, SG, etc.)</t>
  </si>
  <si>
    <t>External — Registries</t>
  </si>
  <si>
    <t>Per-registry credentials (varies: API key / portal login)</t>
  </si>
  <si>
    <t>Research Agent (READ — entity status lookups)
Compliance Agent (READ — filing confirmations)</t>
  </si>
  <si>
    <t>Registered entity status, officer lists, filing dates. Public data.</t>
  </si>
  <si>
    <t>Varies by registry; most allow ~50–200 calls/day</t>
  </si>
  <si>
    <t>Manual registry portal lookup; flag as 'unverified via API' in output</t>
  </si>
  <si>
    <t>IMPLEMENTATION ROADMAP &amp; GOVERNANCE  ·  Phased Build Plan · Approval Matrix · Audit Requirements</t>
  </si>
  <si>
    <t>Build order: L1 GraphRAG schema first (blocks all agents). Then L2 Memory. Then L5 Agents. Then L4 Skills one-by-one with evals. L3 and L6 in parallel.</t>
  </si>
  <si>
    <t>PHASED BUILD ROADMAP</t>
  </si>
  <si>
    <t>Deliverable</t>
  </si>
  <si>
    <t>Phase</t>
  </si>
  <si>
    <t>Rationale / Dependency</t>
  </si>
  <si>
    <t>Owner</t>
  </si>
  <si>
    <t>Est. Effort</t>
  </si>
  <si>
    <t>Blocks</t>
  </si>
  <si>
    <t>GRAPH_SCHEMA.md — Entity + Relationship types defined</t>
  </si>
  <si>
    <t>Phase 0 — Foundation (Weeks 1–2)</t>
  </si>
  <si>
    <t>Everything blocks on this. Agents cannot query what doesn't have a schema.</t>
  </si>
  <si>
    <t>Data / AI Lead</t>
  </si>
  <si>
    <t>3 days</t>
  </si>
  <si>
    <t>TODO</t>
  </si>
  <si>
    <t>All agents, all skills</t>
  </si>
  <si>
    <t>CORPUS_INDEX.md — Initial document sources catalogued</t>
  </si>
  <si>
    <t>Must know what data exists before indexing.</t>
  </si>
  <si>
    <t>2 days</t>
  </si>
  <si>
    <t>GraphRAG indexing pipeline</t>
  </si>
  <si>
    <t>GraphRAG indexing pipeline — initial graph built</t>
  </si>
  <si>
    <t>Populates the knowledge foundation. Without this, agents use flat search.</t>
  </si>
  <si>
    <t>Engineering</t>
  </si>
  <si>
    <t>1–2 weeks</t>
  </si>
  <si>
    <t>Research Agent, Compliance Agent</t>
  </si>
  <si>
    <t>MEMORY_SCHEMA.md — all 4 types defined</t>
  </si>
  <si>
    <t>Agents need to know what to remember before any session runs.</t>
  </si>
  <si>
    <t>All agents</t>
  </si>
  <si>
    <t>TOOL_REGISTRY.md — all tools registered and permissioned</t>
  </si>
  <si>
    <t>Phase 1 — Agent Skeleton (Weeks 3–4)</t>
  </si>
  <si>
    <t>Agents cannot call tools that aren't registered. Governance gate.</t>
  </si>
  <si>
    <t>AGENT_SPEC.md — Orchestrator</t>
  </si>
  <si>
    <t>Routing logic must exist before any sub-agent is deployed.</t>
  </si>
  <si>
    <t>AI Lead</t>
  </si>
  <si>
    <t>All specialist agents</t>
  </si>
  <si>
    <t>AGENT_SPEC.md — Research Agent</t>
  </si>
  <si>
    <t>Highest usage, lowest risk. Good first agent to validate GraphRAG queries.</t>
  </si>
  <si>
    <t>AI / Ops</t>
  </si>
  <si>
    <t>jurisdiction-compare, regulation-lookup</t>
  </si>
  <si>
    <t>AGENT_SPEC.md — Compliance Agent</t>
  </si>
  <si>
    <t>High risk — needs full spec + approval before any live use.</t>
  </si>
  <si>
    <t>AI / Compliance</t>
  </si>
  <si>
    <t>sanctions-screen, ubo-chain-traverse, conflict-check</t>
  </si>
  <si>
    <t>SKILL.md + EVAL.json — intent-classifier</t>
  </si>
  <si>
    <t>Phase 2 — First Skills (Weeks 5–6)</t>
  </si>
  <si>
    <t>Orchestrator uses this first. Simple classification task, fast to eval.</t>
  </si>
  <si>
    <t>1 day</t>
  </si>
  <si>
    <t>Orchestrator routing</t>
  </si>
  <si>
    <t>SKILL.md + EVAL.json — client-lookup</t>
  </si>
  <si>
    <t>Used by almost every workflow. Must be reliable before other skills build on it.</t>
  </si>
  <si>
    <t>Most workflows</t>
  </si>
  <si>
    <t>SKILL.md + EVAL.json — jurisdiction-compare</t>
  </si>
  <si>
    <t>High value, relatively low risk (research output, human reviews).</t>
  </si>
  <si>
    <t>Ops / AI</t>
  </si>
  <si>
    <t>SKILL.md + EVAL.json — sanctions-screen</t>
  </si>
  <si>
    <t>Required for onboarding. Cannot go live without 100% pass rate on test cases.</t>
  </si>
  <si>
    <t>Compliance / AI</t>
  </si>
  <si>
    <t>Compliance Agent, onboarding workflow</t>
  </si>
  <si>
    <t>WORKFLOW.md — client onboarding workflow</t>
  </si>
  <si>
    <t>Phase 3 — Workflows (Weeks 7–10)</t>
  </si>
  <si>
    <t>First complete end-to-end workflow. Validates agent + skill + human gate integration.</t>
  </si>
  <si>
    <t>Ops / AI Lead</t>
  </si>
  <si>
    <t>1 week</t>
  </si>
  <si>
    <t>Phase 2 skills complete</t>
  </si>
  <si>
    <t>SKILL.md — ubo-chain-traverse, conflict-check, doc-expiry-scan</t>
  </si>
  <si>
    <t>Compliance-critical. Each needs ≥10 test cases with known-correct answers.</t>
  </si>
  <si>
    <t>Compliance Agent, GraphRAG</t>
  </si>
  <si>
    <t>SKILL.md — doc-draft-engagement-letter, doc-draft-banking-intro</t>
  </si>
  <si>
    <t>Document generation. Human gate mandatory. Template library must be in Drive first.</t>
  </si>
  <si>
    <t>Ops / Drafting Agent</t>
  </si>
  <si>
    <t>Drive templates, CRM</t>
  </si>
  <si>
    <t>AGENT_SPEC.md — Drafting Agent, Operations Agent</t>
  </si>
  <si>
    <t>Deploy after their skills are live and evaled.</t>
  </si>
  <si>
    <t>2 days each</t>
  </si>
  <si>
    <t>Phase 3 skills complete</t>
  </si>
  <si>
    <t>UX_SPEC.md — internal chat channel</t>
  </si>
  <si>
    <t>Phase 4 — Surface &amp; Governance (Weeks 11–12)</t>
  </si>
  <si>
    <t>First user-facing channel. Define fallback before launch.</t>
  </si>
  <si>
    <t>All agents live</t>
  </si>
  <si>
    <t>GOVERNANCE.md — approval matrix + audit requirements</t>
  </si>
  <si>
    <t>Cross</t>
  </si>
  <si>
    <t>Required before any agent touches live client data.</t>
  </si>
  <si>
    <t>Legal / Compliance</t>
  </si>
  <si>
    <t>Must precede Phase 3 go-live</t>
  </si>
  <si>
    <t>DEPARTMENT_OS_MAP.md — v1.0</t>
  </si>
  <si>
    <t>Living document — first version after Phase 3 complete.</t>
  </si>
  <si>
    <t>AI Lead / Chief of Staff</t>
  </si>
  <si>
    <t>All Phase 3 docs complete</t>
  </si>
  <si>
    <t>GOVERNANCE — Approval Matrix  (who must sign off before action)</t>
  </si>
  <si>
    <t>Action Type</t>
  </si>
  <si>
    <t>Auto-Approved?</t>
  </si>
  <si>
    <t>Approver (human)</t>
  </si>
  <si>
    <t>Audit Log Required?</t>
  </si>
  <si>
    <t>Override Possible?</t>
  </si>
  <si>
    <t>Override Approver</t>
  </si>
  <si>
    <t>Sanctions / PEP screen result — MATCH</t>
  </si>
  <si>
    <t>NO</t>
  </si>
  <si>
    <t>Compliance Officer</t>
  </si>
  <si>
    <t>YES — immutable log</t>
  </si>
  <si>
    <t>N/A — must escalate</t>
  </si>
  <si>
    <t>Match = immediate block. No agent action permitted.</t>
  </si>
  <si>
    <t>UBO chain traversal — result delivered to client</t>
  </si>
  <si>
    <t>YES</t>
  </si>
  <si>
    <t>N/A</t>
  </si>
  <si>
    <t>Must be reviewed before sharing with client</t>
  </si>
  <si>
    <t>Conflict-of-interest check — conflict found</t>
  </si>
  <si>
    <t>Senior Partner / Legal</t>
  </si>
  <si>
    <t>YES — immutable</t>
  </si>
  <si>
    <t>YES (documented)</t>
  </si>
  <si>
    <t>Managing Director + Legal</t>
  </si>
  <si>
    <t>Documented waiver required</t>
  </si>
  <si>
    <t>Engagement letter — send to client</t>
  </si>
  <si>
    <t>Relationship Manager</t>
  </si>
  <si>
    <t>Department Head</t>
  </si>
  <si>
    <t>Agent drafts; human reviews and sends</t>
  </si>
  <si>
    <t>Banking introduction letter — send</t>
  </si>
  <si>
    <t>Mandate renewal alert — send internal notification</t>
  </si>
  <si>
    <t>LOW</t>
  </si>
  <si>
    <t>None (automated)</t>
  </si>
  <si>
    <t>YES (system log)</t>
  </si>
  <si>
    <t>Operations Manager</t>
  </si>
  <si>
    <t>Alert only; no client-facing action</t>
  </si>
  <si>
    <t>Research output — share with client</t>
  </si>
  <si>
    <t>Analyst / Relationship Manager</t>
  </si>
  <si>
    <t>Senior Analyst</t>
  </si>
  <si>
    <t>All research outputs reviewed for accuracy</t>
  </si>
  <si>
    <t>New entity added to GraphRAG schema</t>
  </si>
  <si>
    <t>AI Lead + Data Lead</t>
  </si>
  <si>
    <t>N/A — committee decision</t>
  </si>
  <si>
    <t>Schema changes affect all agents</t>
  </si>
  <si>
    <t>New skill deployed to production</t>
  </si>
  <si>
    <t>AI Lead (eval pass rate confirmed)</t>
  </si>
  <si>
    <t>Requires EVAL.json pass rate ≥90% documented</t>
  </si>
  <si>
    <t>New agent deployed to production</t>
  </si>
  <si>
    <t>AI Lead + Compliance Officer</t>
  </si>
  <si>
    <t>Requires AGENT_SPEC.md complete + penetration test</t>
  </si>
  <si>
    <t>ARCHITECTURE STATUS DASHBOARD  ·  Live Tracker</t>
  </si>
  <si>
    <t>Total deliverables</t>
  </si>
  <si>
    <t>Completed (DONE)</t>
  </si>
  <si>
    <t>In Progress</t>
  </si>
  <si>
    <t>Blocked</t>
  </si>
  <si>
    <t>% Complete</t>
  </si>
  <si>
    <t>Skills defined</t>
  </si>
  <si>
    <t>Agents defined</t>
  </si>
  <si>
    <t>Layer completion status — update Status column in 06_Roadmap_Governance to track</t>
  </si>
  <si>
    <t># Deliverables</t>
  </si>
  <si>
    <t>Done</t>
  </si>
  <si>
    <t>% Done</t>
  </si>
  <si>
    <t>Critical Blocker?</t>
  </si>
  <si>
    <t>Doc Template Owner</t>
  </si>
  <si>
    <t>Knowledge Foundation (GraphRAG)</t>
  </si>
  <si>
    <t>Memory &amp; Context</t>
  </si>
  <si>
    <t>Integration &amp; Tool Governance</t>
  </si>
  <si>
    <t>Governance + OS Map</t>
  </si>
  <si>
    <t>AI Lead / Legal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</si>
</sst>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6">
    <font>
      <sz val="11.0"/>
      <color theme="1"/>
      <name val="Calibri"/>
      <scheme val="minor"/>
    </font>
    <font>
      <b/>
      <sz val="13.0"/>
      <color rgb="FFFFFFFF"/>
      <name val="Arial"/>
    </font>
    <font/>
    <font>
      <color theme="1"/>
      <name val="Calibri"/>
      <scheme val="minor"/>
    </font>
    <font>
      <i/>
      <sz val="10.0"/>
      <color rgb="FF94A3B8"/>
      <name val="Arial"/>
    </font>
    <font>
      <b/>
      <sz val="9.0"/>
      <color rgb="FFF1F5F9"/>
      <name val="Arial"/>
    </font>
    <font>
      <b/>
      <sz val="10.0"/>
      <color rgb="FF6D28D9"/>
      <name val="Arial"/>
    </font>
    <font>
      <sz val="9.0"/>
      <color rgb="FF000000"/>
      <name val="Arial"/>
    </font>
    <font>
      <i/>
      <sz val="9.0"/>
      <color rgb="FF000000"/>
      <name val="Arial"/>
    </font>
    <font>
      <b/>
      <sz val="9.0"/>
      <color rgb="FF6D28D9"/>
      <name val="Arial"/>
    </font>
    <font>
      <b/>
      <sz val="10.0"/>
      <color rgb="FF1D4ED8"/>
      <name val="Arial"/>
    </font>
    <font>
      <b/>
      <sz val="9.0"/>
      <color rgb="FF1D4ED8"/>
      <name val="Arial"/>
    </font>
    <font>
      <b/>
      <sz val="10.0"/>
      <color rgb="FF065F46"/>
      <name val="Arial"/>
    </font>
    <font>
      <b/>
      <sz val="9.0"/>
      <color rgb="FF065F46"/>
      <name val="Arial"/>
    </font>
    <font>
      <b/>
      <sz val="10.0"/>
      <color rgb="FF374151"/>
      <name val="Arial"/>
    </font>
    <font>
      <b/>
      <sz val="9.0"/>
      <color rgb="FF374151"/>
      <name val="Arial"/>
    </font>
    <font>
      <b/>
      <sz val="10.0"/>
      <color rgb="FF92400E"/>
      <name val="Arial"/>
    </font>
    <font>
      <b/>
      <sz val="9.0"/>
      <color rgb="FF92400E"/>
      <name val="Arial"/>
    </font>
    <font>
      <b/>
      <sz val="10.0"/>
      <color rgb="FF991B1B"/>
      <name val="Arial"/>
    </font>
    <font>
      <b/>
      <sz val="9.0"/>
      <color rgb="FF991B1B"/>
      <name val="Arial"/>
    </font>
    <font>
      <i/>
      <sz val="9.0"/>
      <color rgb="FF475569"/>
      <name val="Arial"/>
    </font>
    <font>
      <b/>
      <sz val="12.0"/>
      <color rgb="FFFFFFFF"/>
      <name val="Arial"/>
    </font>
    <font>
      <i/>
      <sz val="9.0"/>
      <color rgb="FF94A3B8"/>
      <name val="Arial"/>
    </font>
    <font>
      <b/>
      <sz val="9.0"/>
      <color rgb="FF475569"/>
      <name val="Arial"/>
    </font>
    <font>
      <b/>
      <sz val="10.0"/>
      <color rgb="FF1E293B"/>
      <name val="Arial"/>
    </font>
    <font>
      <b/>
      <sz val="9.0"/>
      <color rgb="FF1E293B"/>
      <name val="Arial"/>
    </font>
    <font>
      <b/>
      <sz val="11.0"/>
      <color rgb="FF991B1B"/>
      <name val="Arial"/>
    </font>
    <font>
      <b/>
      <sz val="11.0"/>
      <color rgb="FF1D4ED8"/>
      <name val="Arial"/>
    </font>
    <font>
      <sz val="9.0"/>
      <color rgb="FF0000FF"/>
      <name val="Arial"/>
    </font>
    <font>
      <b/>
      <sz val="11.0"/>
      <color rgb="FF065F46"/>
      <name val="Arial"/>
    </font>
    <font>
      <b/>
      <sz val="11.0"/>
      <color rgb="FF92400E"/>
      <name val="Arial"/>
    </font>
    <font>
      <b/>
      <sz val="11.0"/>
      <color rgb="FF374151"/>
      <name val="Arial"/>
    </font>
    <font>
      <b/>
      <sz val="11.0"/>
      <color rgb="FF0369A1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i/>
      <sz val="8.0"/>
      <color rgb="FF000000"/>
      <name val="Arial"/>
    </font>
    <font>
      <b/>
      <sz val="11.0"/>
      <color rgb="FF9D174D"/>
      <name val="Arial"/>
    </font>
    <font>
      <b/>
      <sz val="9.0"/>
      <color theme="1"/>
      <name val="Arial"/>
    </font>
    <font>
      <sz val="9.0"/>
      <color rgb="FF6B7280"/>
      <name val="Arial"/>
    </font>
    <font>
      <b/>
      <sz val="22.0"/>
      <color rgb="FF1D4ED8"/>
      <name val="Arial"/>
    </font>
    <font>
      <b/>
      <sz val="22.0"/>
      <color rgb="FF065F46"/>
      <name val="Arial"/>
    </font>
    <font>
      <b/>
      <sz val="22.0"/>
      <color rgb="FF92400E"/>
      <name val="Arial"/>
    </font>
    <font>
      <b/>
      <sz val="22.0"/>
      <color rgb="FF991B1B"/>
      <name val="Arial"/>
    </font>
    <font>
      <b/>
      <sz val="22.0"/>
      <color rgb="FF374151"/>
      <name val="Arial"/>
    </font>
    <font>
      <b/>
      <sz val="22.0"/>
      <color rgb="FF6D28D9"/>
      <name val="Arial"/>
    </font>
    <font>
      <b/>
      <sz val="10.0"/>
      <color rgb="FF9D174D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EDE9FE"/>
        <bgColor rgb="FFEDE9FE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DE68A"/>
        <bgColor rgb="FFFDE68A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3F4F6"/>
        <bgColor rgb="FFF3F4F6"/>
      </patternFill>
    </fill>
    <fill>
      <patternFill patternType="solid">
        <fgColor rgb="FFA7F3D0"/>
        <bgColor rgb="FFA7F3D0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CA5A5"/>
        <bgColor rgb="FFFCA5A5"/>
      </patternFill>
    </fill>
    <fill>
      <patternFill patternType="solid">
        <fgColor rgb="FFF1F5F9"/>
        <bgColor rgb="FFF1F5F9"/>
      </patternFill>
    </fill>
    <fill>
      <patternFill patternType="solid">
        <fgColor rgb="FFF3E8FF"/>
        <bgColor rgb="FFF3E8FF"/>
      </patternFill>
    </fill>
    <fill>
      <patternFill patternType="solid">
        <fgColor rgb="FFE0F2FE"/>
        <bgColor rgb="FFE0F2FE"/>
      </patternFill>
    </fill>
    <fill>
      <patternFill patternType="solid">
        <fgColor rgb="FFFCE7F3"/>
        <bgColor rgb="FFFCE7F3"/>
      </patternFill>
    </fill>
    <fill>
      <patternFill patternType="solid">
        <fgColor rgb="FF374151"/>
        <bgColor rgb="FF374151"/>
      </patternFill>
    </fill>
    <fill>
      <patternFill patternType="solid">
        <fgColor rgb="FFFDBA74"/>
        <bgColor rgb="FFFDBA74"/>
      </patternFill>
    </fill>
    <fill>
      <patternFill patternType="solid">
        <fgColor rgb="FFEFF6FF"/>
        <bgColor rgb="FFEFF6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</border>
    <border>
      <right/>
      <top style="thin">
        <color rgb="FFE5E7EB"/>
      </top>
    </border>
    <border>
      <left style="thin">
        <color rgb="FFE5E7EB"/>
      </left>
      <bottom/>
    </border>
    <border>
      <right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ill="1" applyFont="1">
      <alignment horizontal="left" shrinkToFit="0" vertical="top" wrapText="1"/>
    </xf>
    <xf borderId="4" fillId="5" fontId="7" numFmtId="0" xfId="0" applyAlignment="1" applyBorder="1" applyFill="1" applyFont="1">
      <alignment horizontal="left" shrinkToFit="0" vertical="top" wrapText="1"/>
    </xf>
    <xf borderId="4" fillId="4" fontId="8" numFmtId="0" xfId="0" applyAlignment="1" applyBorder="1" applyFont="1">
      <alignment horizontal="left" shrinkToFit="0" vertical="top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4" fillId="9" fontId="14" numFmtId="0" xfId="0" applyAlignment="1" applyBorder="1" applyFont="1">
      <alignment horizontal="left" shrinkToFit="0" vertical="center" wrapText="1"/>
    </xf>
    <xf borderId="4" fillId="10" fontId="15" numFmtId="0" xfId="0" applyAlignment="1" applyBorder="1" applyFill="1" applyFont="1">
      <alignment horizontal="center" shrinkToFit="0" vertical="center" wrapText="1"/>
    </xf>
    <xf borderId="4" fillId="11" fontId="16" numFmtId="0" xfId="0" applyAlignment="1" applyBorder="1" applyFill="1" applyFont="1">
      <alignment horizontal="center" shrinkToFit="0" vertical="center" wrapText="1"/>
    </xf>
    <xf borderId="4" fillId="11" fontId="16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12" fontId="18" numFmtId="0" xfId="0" applyAlignment="1" applyBorder="1" applyFill="1" applyFont="1">
      <alignment horizontal="center" shrinkToFit="0" vertical="center" wrapText="1"/>
    </xf>
    <xf borderId="4" fillId="12" fontId="18" numFmtId="0" xfId="0" applyAlignment="1" applyBorder="1" applyFont="1">
      <alignment horizontal="left" shrinkToFit="0" vertical="center" wrapText="1"/>
    </xf>
    <xf borderId="4" fillId="13" fontId="19" numFmtId="0" xfId="0" applyAlignment="1" applyBorder="1" applyFill="1" applyFont="1">
      <alignment horizontal="center" shrinkToFit="0" vertical="center" wrapText="1"/>
    </xf>
    <xf borderId="5" fillId="14" fontId="20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2" fontId="21" numFmtId="0" xfId="0" applyAlignment="1" applyBorder="1" applyFont="1">
      <alignment horizontal="center" shrinkToFit="0" vertical="center" wrapText="1"/>
    </xf>
    <xf borderId="1" fillId="2" fontId="22" numFmtId="0" xfId="0" applyAlignment="1" applyBorder="1" applyFont="1">
      <alignment horizontal="center" shrinkToFit="0" vertical="center" wrapText="1"/>
    </xf>
    <xf borderId="4" fillId="15" fontId="23" numFmtId="0" xfId="0" applyAlignment="1" applyBorder="1" applyFill="1" applyFont="1">
      <alignment horizontal="center" shrinkToFit="0" vertical="center" wrapText="1"/>
    </xf>
    <xf borderId="4" fillId="15" fontId="24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16" fontId="7" numFmtId="0" xfId="0" applyAlignment="1" applyBorder="1" applyFill="1" applyFont="1">
      <alignment horizontal="center" shrinkToFit="0" vertical="center" wrapText="1"/>
    </xf>
    <xf borderId="4" fillId="10" fontId="25" numFmtId="0" xfId="0" applyAlignment="1" applyBorder="1" applyFont="1">
      <alignment horizontal="center" shrinkToFit="0" vertical="center" wrapText="1"/>
    </xf>
    <xf borderId="4" fillId="7" fontId="23" numFmtId="0" xfId="0" applyAlignment="1" applyBorder="1" applyFont="1">
      <alignment horizontal="center" shrinkToFit="0" vertical="center" wrapText="1"/>
    </xf>
    <xf borderId="4" fillId="7" fontId="24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6" fontId="25" numFmtId="0" xfId="0" applyAlignment="1" applyBorder="1" applyFont="1">
      <alignment horizontal="center" shrinkToFit="0" vertical="center" wrapText="1"/>
    </xf>
    <xf borderId="4" fillId="8" fontId="23" numFmtId="0" xfId="0" applyAlignment="1" applyBorder="1" applyFont="1">
      <alignment horizontal="center" shrinkToFit="0" vertical="center" wrapText="1"/>
    </xf>
    <xf borderId="4" fillId="8" fontId="24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9" fontId="23" numFmtId="0" xfId="0" applyAlignment="1" applyBorder="1" applyFont="1">
      <alignment horizontal="center" shrinkToFit="0" vertical="center" wrapText="1"/>
    </xf>
    <xf borderId="4" fillId="9" fontId="24" numFmtId="0" xfId="0" applyAlignment="1" applyBorder="1" applyFont="1">
      <alignment horizontal="left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11" fontId="23" numFmtId="0" xfId="0" applyAlignment="1" applyBorder="1" applyFont="1">
      <alignment horizontal="center" shrinkToFit="0" vertical="center" wrapText="1"/>
    </xf>
    <xf borderId="4" fillId="11" fontId="24" numFmtId="0" xfId="0" applyAlignment="1" applyBorder="1" applyFont="1">
      <alignment horizontal="left" shrinkToFit="0" vertical="center" wrapText="1"/>
    </xf>
    <xf borderId="4" fillId="11" fontId="7" numFmtId="0" xfId="0" applyAlignment="1" applyBorder="1" applyFont="1">
      <alignment horizontal="center" shrinkToFit="0" vertical="center" wrapText="1"/>
    </xf>
    <xf borderId="4" fillId="12" fontId="23" numFmtId="0" xfId="0" applyAlignment="1" applyBorder="1" applyFont="1">
      <alignment horizontal="center" shrinkToFit="0" vertical="center" wrapText="1"/>
    </xf>
    <xf borderId="4" fillId="12" fontId="24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center" shrinkToFit="0" vertical="center" wrapText="1"/>
    </xf>
    <xf borderId="4" fillId="13" fontId="25" numFmtId="0" xfId="0" applyAlignment="1" applyBorder="1" applyFont="1">
      <alignment horizontal="center" shrinkToFit="0" vertical="center" wrapText="1"/>
    </xf>
    <xf borderId="4" fillId="17" fontId="23" numFmtId="0" xfId="0" applyAlignment="1" applyBorder="1" applyFill="1" applyFont="1">
      <alignment horizontal="center" shrinkToFit="0" vertical="center" wrapText="1"/>
    </xf>
    <xf borderId="4" fillId="17" fontId="24" numFmtId="0" xfId="0" applyAlignment="1" applyBorder="1" applyFont="1">
      <alignment horizontal="left" shrinkToFit="0" vertical="center" wrapText="1"/>
    </xf>
    <xf borderId="4" fillId="17" fontId="7" numFmtId="0" xfId="0" applyAlignment="1" applyBorder="1" applyFont="1">
      <alignment horizontal="center" shrinkToFit="0" vertical="center" wrapText="1"/>
    </xf>
    <xf borderId="5" fillId="12" fontId="26" numFmtId="0" xfId="0" applyAlignment="1" applyBorder="1" applyFont="1">
      <alignment horizontal="left" shrinkToFit="0" vertical="center" wrapText="1"/>
    </xf>
    <xf borderId="4" fillId="18" fontId="5" numFmtId="0" xfId="0" applyAlignment="1" applyBorder="1" applyFill="1" applyFont="1">
      <alignment horizontal="center" shrinkToFit="0" vertical="center" wrapText="1"/>
    </xf>
    <xf borderId="4" fillId="4" fontId="19" numFmtId="0" xfId="0" applyAlignment="1" applyBorder="1" applyFont="1">
      <alignment horizontal="left" shrinkToFit="0" vertical="top" wrapText="1"/>
    </xf>
    <xf borderId="4" fillId="5" fontId="19" numFmtId="0" xfId="0" applyAlignment="1" applyBorder="1" applyFont="1">
      <alignment horizontal="left" shrinkToFit="0" vertical="top" wrapText="1"/>
    </xf>
    <xf borderId="4" fillId="13" fontId="7" numFmtId="0" xfId="0" applyAlignment="1" applyBorder="1" applyFont="1">
      <alignment horizontal="left" shrinkToFit="0" vertical="top" wrapText="1"/>
    </xf>
    <xf borderId="4" fillId="6" fontId="7" numFmtId="0" xfId="0" applyAlignment="1" applyBorder="1" applyFont="1">
      <alignment horizontal="left" shrinkToFit="0" vertical="top" wrapText="1"/>
    </xf>
    <xf borderId="4" fillId="10" fontId="7" numFmtId="0" xfId="0" applyAlignment="1" applyBorder="1" applyFont="1">
      <alignment horizontal="left" shrinkToFit="0" vertical="top" wrapText="1"/>
    </xf>
    <xf borderId="1" fillId="2" fontId="21" numFmtId="0" xfId="0" applyAlignment="1" applyBorder="1" applyFont="1">
      <alignment horizontal="center" shrinkToFit="0" vertical="center" wrapText="0"/>
    </xf>
    <xf borderId="1" fillId="2" fontId="22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left" shrinkToFit="0" vertical="top" wrapText="1"/>
    </xf>
    <xf borderId="4" fillId="4" fontId="10" numFmtId="0" xfId="0" applyAlignment="1" applyBorder="1" applyFont="1">
      <alignment horizontal="left" shrinkToFit="0" vertical="top" wrapText="1"/>
    </xf>
    <xf borderId="4" fillId="5" fontId="11" numFmtId="0" xfId="0" applyAlignment="1" applyBorder="1" applyFont="1">
      <alignment horizontal="left" shrinkToFit="0" vertical="top" wrapText="1"/>
    </xf>
    <xf borderId="4" fillId="5" fontId="10" numFmtId="0" xfId="0" applyAlignment="1" applyBorder="1" applyFont="1">
      <alignment horizontal="left" shrinkToFit="0" vertical="top" wrapText="1"/>
    </xf>
    <xf borderId="4" fillId="19" fontId="7" numFmtId="0" xfId="0" applyAlignment="1" applyBorder="1" applyFill="1" applyFont="1">
      <alignment horizontal="left" shrinkToFit="0" vertical="top" wrapText="1"/>
    </xf>
    <xf borderId="5" fillId="7" fontId="27" numFmtId="0" xfId="0" applyAlignment="1" applyBorder="1" applyFont="1">
      <alignment horizontal="left" shrinkToFit="0" vertical="center" wrapText="0"/>
    </xf>
    <xf borderId="4" fillId="7" fontId="11" numFmtId="0" xfId="0" applyAlignment="1" applyBorder="1" applyFont="1">
      <alignment horizontal="center" shrinkToFit="0" vertical="center" wrapText="0"/>
    </xf>
    <xf borderId="5" fillId="7" fontId="25" numFmtId="0" xfId="0" applyAlignment="1" applyBorder="1" applyFont="1">
      <alignment horizontal="left" shrinkToFit="0" vertical="center" wrapText="0"/>
    </xf>
    <xf borderId="5" fillId="4" fontId="7" numFmtId="0" xfId="0" applyAlignment="1" applyBorder="1" applyFont="1">
      <alignment horizontal="left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4" fillId="4" fontId="24" numFmtId="0" xfId="0" applyAlignment="1" applyBorder="1" applyFont="1">
      <alignment horizontal="left" shrinkToFit="0" vertical="center" wrapText="1"/>
    </xf>
    <xf borderId="4" fillId="20" fontId="28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5" fontId="23" numFmtId="0" xfId="0" applyAlignment="1" applyBorder="1" applyFont="1">
      <alignment horizontal="center" shrinkToFit="0" vertical="center" wrapText="1"/>
    </xf>
    <xf borderId="4" fillId="5" fontId="24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top" wrapText="1"/>
    </xf>
    <xf borderId="5" fillId="8" fontId="29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left" shrinkToFit="0" vertical="center" wrapText="1"/>
    </xf>
    <xf borderId="5" fillId="11" fontId="30" numFmtId="0" xfId="0" applyAlignment="1" applyBorder="1" applyFont="1">
      <alignment horizontal="left" shrinkToFit="0" vertical="center" wrapText="1"/>
    </xf>
    <xf borderId="4" fillId="4" fontId="17" numFmtId="0" xfId="0" applyAlignment="1" applyBorder="1" applyFont="1">
      <alignment horizontal="left" shrinkToFit="0" vertical="top" wrapText="1"/>
    </xf>
    <xf borderId="4" fillId="5" fontId="17" numFmtId="0" xfId="0" applyAlignment="1" applyBorder="1" applyFont="1">
      <alignment horizontal="left" shrinkToFit="0" vertical="top" wrapText="1"/>
    </xf>
    <xf borderId="5" fillId="9" fontId="31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left" shrinkToFit="0" vertical="top" wrapText="1"/>
    </xf>
    <xf borderId="4" fillId="5" fontId="15" numFmtId="0" xfId="0" applyAlignment="1" applyBorder="1" applyFont="1">
      <alignment horizontal="left" shrinkToFit="0" vertical="top" wrapText="1"/>
    </xf>
    <xf borderId="5" fillId="16" fontId="32" numFmtId="0" xfId="0" applyAlignment="1" applyBorder="1" applyFont="1">
      <alignment horizontal="left" shrinkToFit="0" vertical="center" wrapText="0"/>
    </xf>
    <xf borderId="4" fillId="18" fontId="5" numFmtId="0" xfId="0" applyAlignment="1" applyBorder="1" applyFont="1">
      <alignment horizontal="center" shrinkToFit="0" vertical="center" wrapText="0"/>
    </xf>
    <xf borderId="4" fillId="12" fontId="33" numFmtId="0" xfId="0" applyAlignment="1" applyBorder="1" applyFont="1">
      <alignment horizontal="center" shrinkToFit="0" vertical="center" wrapText="0"/>
    </xf>
    <xf borderId="4" fillId="12" fontId="25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center" shrinkToFit="0" vertical="center" wrapText="0"/>
    </xf>
    <xf borderId="4" fillId="12" fontId="34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11" fontId="33" numFmtId="0" xfId="0" applyAlignment="1" applyBorder="1" applyFont="1">
      <alignment horizontal="center" shrinkToFit="0" vertical="center" wrapText="0"/>
    </xf>
    <xf borderId="4" fillId="4" fontId="35" numFmtId="0" xfId="0" applyAlignment="1" applyBorder="1" applyFont="1">
      <alignment horizontal="left" shrinkToFit="0" vertical="top" wrapText="1"/>
    </xf>
    <xf borderId="4" fillId="11" fontId="25" numFmtId="0" xfId="0" applyAlignment="1" applyBorder="1" applyFont="1">
      <alignment horizontal="left" shrinkToFit="0" vertical="center" wrapText="1"/>
    </xf>
    <xf borderId="4" fillId="11" fontId="7" numFmtId="0" xfId="0" applyAlignment="1" applyBorder="1" applyFont="1">
      <alignment horizontal="center" shrinkToFit="0" vertical="center" wrapText="0"/>
    </xf>
    <xf borderId="4" fillId="11" fontId="34" numFmtId="0" xfId="0" applyAlignment="1" applyBorder="1" applyFont="1">
      <alignment horizontal="left" shrinkToFit="0" vertical="center" wrapText="1"/>
    </xf>
    <xf borderId="4" fillId="8" fontId="33" numFmtId="0" xfId="0" applyAlignment="1" applyBorder="1" applyFont="1">
      <alignment horizontal="center" shrinkToFit="0" vertical="center" wrapText="0"/>
    </xf>
    <xf borderId="4" fillId="8" fontId="25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4" fillId="8" fontId="34" numFmtId="0" xfId="0" applyAlignment="1" applyBorder="1" applyFont="1">
      <alignment horizontal="left" shrinkToFit="0" vertical="center" wrapText="1"/>
    </xf>
    <xf borderId="4" fillId="7" fontId="33" numFmtId="0" xfId="0" applyAlignment="1" applyBorder="1" applyFont="1">
      <alignment horizontal="center" shrinkToFit="0" vertical="center" wrapText="0"/>
    </xf>
    <xf borderId="4" fillId="7" fontId="25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center" shrinkToFit="0" vertical="center" wrapText="0"/>
    </xf>
    <xf borderId="4" fillId="7" fontId="34" numFmtId="0" xfId="0" applyAlignment="1" applyBorder="1" applyFont="1">
      <alignment horizontal="left" shrinkToFit="0" vertical="center" wrapText="1"/>
    </xf>
    <xf borderId="4" fillId="15" fontId="33" numFmtId="0" xfId="0" applyAlignment="1" applyBorder="1" applyFont="1">
      <alignment horizontal="center" shrinkToFit="0" vertical="center" wrapText="0"/>
    </xf>
    <xf borderId="4" fillId="15" fontId="25" numFmtId="0" xfId="0" applyAlignment="1" applyBorder="1" applyFont="1">
      <alignment horizontal="left" shrinkToFit="0" vertical="center" wrapText="1"/>
    </xf>
    <xf borderId="4" fillId="15" fontId="7" numFmtId="0" xfId="0" applyAlignment="1" applyBorder="1" applyFont="1">
      <alignment horizontal="center" shrinkToFit="0" vertical="center" wrapText="0"/>
    </xf>
    <xf borderId="4" fillId="15" fontId="34" numFmtId="0" xfId="0" applyAlignment="1" applyBorder="1" applyFont="1">
      <alignment horizontal="left" shrinkToFit="0" vertical="center" wrapText="1"/>
    </xf>
    <xf borderId="5" fillId="17" fontId="36" numFmtId="0" xfId="0" applyAlignment="1" applyBorder="1" applyFont="1">
      <alignment horizontal="left" shrinkToFit="0" vertical="center" wrapText="0"/>
    </xf>
    <xf borderId="4" fillId="5" fontId="37" numFmtId="0" xfId="0" applyAlignment="1" applyBorder="1" applyFont="1">
      <alignment horizontal="left" shrinkToFit="0" vertical="top" wrapText="1"/>
    </xf>
    <xf borderId="4" fillId="12" fontId="7" numFmtId="0" xfId="0" applyAlignment="1" applyBorder="1" applyFont="1">
      <alignment horizontal="left" shrinkToFit="0" vertical="top" wrapText="1"/>
    </xf>
    <xf borderId="4" fillId="4" fontId="37" numFmtId="0" xfId="0" applyAlignment="1" applyBorder="1" applyFont="1">
      <alignment horizontal="left" shrinkToFit="0" vertical="top" wrapText="1"/>
    </xf>
    <xf borderId="4" fillId="8" fontId="7" numFmtId="0" xfId="0" applyAlignment="1" applyBorder="1" applyFont="1">
      <alignment horizontal="left" shrinkToFit="0" vertical="top" wrapText="1"/>
    </xf>
    <xf borderId="5" fillId="7" fontId="38" numFmtId="0" xfId="0" applyAlignment="1" applyBorder="1" applyFont="1">
      <alignment horizontal="center" shrinkToFit="0" vertical="center" wrapText="1"/>
    </xf>
    <xf borderId="5" fillId="8" fontId="38" numFmtId="0" xfId="0" applyAlignment="1" applyBorder="1" applyFont="1">
      <alignment horizontal="center" shrinkToFit="0" vertical="center" wrapText="1"/>
    </xf>
    <xf borderId="5" fillId="11" fontId="38" numFmtId="0" xfId="0" applyAlignment="1" applyBorder="1" applyFont="1">
      <alignment horizontal="center" shrinkToFit="0" vertical="center" wrapText="1"/>
    </xf>
    <xf borderId="5" fillId="12" fontId="38" numFmtId="0" xfId="0" applyAlignment="1" applyBorder="1" applyFont="1">
      <alignment horizontal="center" shrinkToFit="0" vertical="center" wrapText="1"/>
    </xf>
    <xf borderId="8" fillId="7" fontId="39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8" fillId="8" fontId="40" numFmtId="0" xfId="0" applyAlignment="1" applyBorder="1" applyFont="1">
      <alignment horizontal="center" shrinkToFit="0" vertical="center" wrapText="1"/>
    </xf>
    <xf borderId="8" fillId="11" fontId="41" numFmtId="0" xfId="0" applyAlignment="1" applyBorder="1" applyFont="1">
      <alignment horizontal="center" shrinkToFit="0" vertical="center" wrapText="1"/>
    </xf>
    <xf borderId="8" fillId="12" fontId="42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5" fillId="9" fontId="38" numFmtId="0" xfId="0" applyAlignment="1" applyBorder="1" applyFont="1">
      <alignment horizontal="center" shrinkToFit="0" vertical="center" wrapText="1"/>
    </xf>
    <xf borderId="5" fillId="3" fontId="38" numFmtId="0" xfId="0" applyAlignment="1" applyBorder="1" applyFont="1">
      <alignment horizontal="center" shrinkToFit="0" vertical="center" wrapText="1"/>
    </xf>
    <xf borderId="8" fillId="9" fontId="43" numFmtId="0" xfId="0" applyAlignment="1" applyBorder="1" applyFont="1">
      <alignment horizontal="center" shrinkToFit="0" vertical="center" wrapText="1"/>
    </xf>
    <xf borderId="8" fillId="3" fontId="44" numFmtId="164" xfId="0" applyAlignment="1" applyBorder="1" applyFont="1" applyNumberFormat="1">
      <alignment horizontal="center" shrinkToFit="0" vertical="center" wrapText="1"/>
    </xf>
    <xf borderId="5" fillId="14" fontId="24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0" fontId="7" numFmtId="9" xfId="0" applyAlignment="1" applyBorder="1" applyFont="1" applyNumberFormat="1">
      <alignment horizontal="center" shrinkToFit="0" vertical="center" wrapText="1"/>
    </xf>
    <xf borderId="4" fillId="11" fontId="7" numFmtId="0" xfId="0" applyAlignment="1" applyBorder="1" applyFont="1">
      <alignment horizontal="left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15" fontId="45" numFmtId="0" xfId="0" applyAlignment="1" applyBorder="1" applyFont="1">
      <alignment horizontal="center" shrinkToFit="0" vertical="center" wrapText="1"/>
    </xf>
    <xf borderId="4" fillId="15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93B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4.0"/>
    <col customWidth="1" min="3" max="3" width="28.0"/>
    <col customWidth="1" min="4" max="4" width="32.0"/>
    <col customWidth="1" min="5" max="5" width="28.0"/>
    <col customWidth="1" min="6" max="6" width="22.0"/>
    <col customWidth="1" min="7" max="7" width="18.0"/>
    <col customWidth="1" min="8" max="8" width="18.71"/>
    <col customWidth="1" min="9" max="9" width="14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0" customHeight="1">
      <c r="A4" s="7" t="s">
        <v>11</v>
      </c>
      <c r="B4" s="8" t="s">
        <v>12</v>
      </c>
      <c r="C4" s="9" t="s">
        <v>13</v>
      </c>
      <c r="D4" s="10" t="s">
        <v>14</v>
      </c>
      <c r="E4" s="11" t="s">
        <v>15</v>
      </c>
      <c r="F4" s="12" t="s">
        <v>16</v>
      </c>
      <c r="G4" s="13" t="s">
        <v>17</v>
      </c>
      <c r="H4" s="14" t="s">
        <v>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4.0" customHeight="1">
      <c r="A5" s="15" t="s">
        <v>19</v>
      </c>
      <c r="B5" s="16" t="s">
        <v>20</v>
      </c>
      <c r="C5" s="9" t="s">
        <v>21</v>
      </c>
      <c r="D5" s="10" t="s">
        <v>22</v>
      </c>
      <c r="E5" s="11" t="s">
        <v>23</v>
      </c>
      <c r="F5" s="17" t="s">
        <v>16</v>
      </c>
      <c r="G5" s="13" t="s">
        <v>24</v>
      </c>
      <c r="H5" s="14" t="s">
        <v>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0" customHeight="1">
      <c r="A6" s="18" t="s">
        <v>26</v>
      </c>
      <c r="B6" s="19" t="s">
        <v>27</v>
      </c>
      <c r="C6" s="9" t="s">
        <v>28</v>
      </c>
      <c r="D6" s="10" t="s">
        <v>29</v>
      </c>
      <c r="E6" s="11" t="s">
        <v>30</v>
      </c>
      <c r="F6" s="20" t="s">
        <v>16</v>
      </c>
      <c r="G6" s="13" t="s">
        <v>31</v>
      </c>
      <c r="H6" s="14" t="s">
        <v>32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0" customHeight="1">
      <c r="A7" s="21" t="s">
        <v>33</v>
      </c>
      <c r="B7" s="22" t="s">
        <v>34</v>
      </c>
      <c r="C7" s="9" t="s">
        <v>35</v>
      </c>
      <c r="D7" s="10" t="s">
        <v>36</v>
      </c>
      <c r="E7" s="11" t="s">
        <v>37</v>
      </c>
      <c r="F7" s="23" t="s">
        <v>38</v>
      </c>
      <c r="G7" s="13" t="s">
        <v>39</v>
      </c>
      <c r="H7" s="14" t="s">
        <v>40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0" customHeight="1">
      <c r="A8" s="24" t="s">
        <v>41</v>
      </c>
      <c r="B8" s="25" t="s">
        <v>42</v>
      </c>
      <c r="C8" s="9" t="s">
        <v>43</v>
      </c>
      <c r="D8" s="10" t="s">
        <v>44</v>
      </c>
      <c r="E8" s="11" t="s">
        <v>45</v>
      </c>
      <c r="F8" s="26" t="s">
        <v>16</v>
      </c>
      <c r="G8" s="13" t="s">
        <v>24</v>
      </c>
      <c r="H8" s="14" t="s">
        <v>46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0" customHeight="1">
      <c r="A9" s="27" t="s">
        <v>47</v>
      </c>
      <c r="B9" s="28" t="s">
        <v>48</v>
      </c>
      <c r="C9" s="9" t="s">
        <v>49</v>
      </c>
      <c r="D9" s="10" t="s">
        <v>50</v>
      </c>
      <c r="E9" s="11" t="s">
        <v>51</v>
      </c>
      <c r="F9" s="29" t="s">
        <v>52</v>
      </c>
      <c r="G9" s="13" t="s">
        <v>53</v>
      </c>
      <c r="H9" s="14" t="s">
        <v>54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30" t="s">
        <v>55</v>
      </c>
      <c r="B10" s="31"/>
      <c r="C10" s="31"/>
      <c r="D10" s="31"/>
      <c r="E10" s="31"/>
      <c r="F10" s="31"/>
      <c r="G10" s="31"/>
      <c r="H10" s="31"/>
      <c r="I10" s="3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I1"/>
    <mergeCell ref="A2:I2"/>
    <mergeCell ref="A10:I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15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2.0"/>
    <col customWidth="1" min="4" max="4" width="16.0"/>
    <col customWidth="1" min="5" max="5" width="22.0"/>
    <col customWidth="1" min="6" max="6" width="24.0"/>
    <col customWidth="1" min="7" max="7" width="22.0"/>
    <col customWidth="1" min="8" max="8" width="16.0"/>
    <col customWidth="1" min="9" max="11" width="14.0"/>
    <col customWidth="1" min="12" max="26" width="8.71"/>
  </cols>
  <sheetData>
    <row r="1" ht="27.75" customHeight="1">
      <c r="A1" s="33" t="s">
        <v>56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4" t="s">
        <v>57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  <c r="I3" s="6" t="s">
        <v>65</v>
      </c>
      <c r="J3" s="6" t="s">
        <v>66</v>
      </c>
      <c r="K3" s="6" t="s">
        <v>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7.75" customHeight="1">
      <c r="A4" s="35">
        <v>1.0</v>
      </c>
      <c r="B4" s="36" t="s">
        <v>18</v>
      </c>
      <c r="C4" s="37" t="s">
        <v>11</v>
      </c>
      <c r="D4" s="38" t="s">
        <v>67</v>
      </c>
      <c r="E4" s="39" t="s">
        <v>17</v>
      </c>
      <c r="F4" s="10" t="s">
        <v>68</v>
      </c>
      <c r="G4" s="9" t="s">
        <v>69</v>
      </c>
      <c r="H4" s="10" t="s">
        <v>70</v>
      </c>
      <c r="I4" s="13" t="s">
        <v>71</v>
      </c>
      <c r="J4" s="40" t="s">
        <v>72</v>
      </c>
      <c r="K4" s="41" t="s">
        <v>38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7.75" customHeight="1">
      <c r="A5" s="42">
        <v>2.0</v>
      </c>
      <c r="B5" s="43" t="s">
        <v>25</v>
      </c>
      <c r="C5" s="44" t="s">
        <v>19</v>
      </c>
      <c r="D5" s="38" t="s">
        <v>73</v>
      </c>
      <c r="E5" s="39" t="s">
        <v>74</v>
      </c>
      <c r="F5" s="10" t="s">
        <v>75</v>
      </c>
      <c r="G5" s="9" t="s">
        <v>76</v>
      </c>
      <c r="H5" s="10" t="s">
        <v>77</v>
      </c>
      <c r="I5" s="13" t="s">
        <v>78</v>
      </c>
      <c r="J5" s="40" t="s">
        <v>72</v>
      </c>
      <c r="K5" s="45" t="s">
        <v>16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7.75" customHeight="1">
      <c r="A6" s="46">
        <v>3.0</v>
      </c>
      <c r="B6" s="47" t="s">
        <v>79</v>
      </c>
      <c r="C6" s="48" t="s">
        <v>26</v>
      </c>
      <c r="D6" s="38" t="s">
        <v>67</v>
      </c>
      <c r="E6" s="39" t="s">
        <v>31</v>
      </c>
      <c r="F6" s="10" t="s">
        <v>80</v>
      </c>
      <c r="G6" s="9" t="s">
        <v>81</v>
      </c>
      <c r="H6" s="10" t="s">
        <v>82</v>
      </c>
      <c r="I6" s="13" t="s">
        <v>83</v>
      </c>
      <c r="J6" s="40" t="s">
        <v>72</v>
      </c>
      <c r="K6" s="45" t="s">
        <v>16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7.75" customHeight="1">
      <c r="A7" s="46">
        <v>4.0</v>
      </c>
      <c r="B7" s="47" t="s">
        <v>84</v>
      </c>
      <c r="C7" s="48" t="s">
        <v>26</v>
      </c>
      <c r="D7" s="38" t="s">
        <v>85</v>
      </c>
      <c r="E7" s="39" t="s">
        <v>86</v>
      </c>
      <c r="F7" s="10" t="s">
        <v>87</v>
      </c>
      <c r="G7" s="9" t="s">
        <v>88</v>
      </c>
      <c r="H7" s="10" t="s">
        <v>89</v>
      </c>
      <c r="I7" s="13" t="s">
        <v>90</v>
      </c>
      <c r="J7" s="40" t="s">
        <v>72</v>
      </c>
      <c r="K7" s="45" t="s">
        <v>16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7.75" customHeight="1">
      <c r="A8" s="46">
        <v>5.0</v>
      </c>
      <c r="B8" s="47" t="s">
        <v>91</v>
      </c>
      <c r="C8" s="48" t="s">
        <v>26</v>
      </c>
      <c r="D8" s="38" t="s">
        <v>92</v>
      </c>
      <c r="E8" s="39" t="s">
        <v>93</v>
      </c>
      <c r="F8" s="10" t="s">
        <v>94</v>
      </c>
      <c r="G8" s="9" t="s">
        <v>95</v>
      </c>
      <c r="H8" s="10" t="s">
        <v>96</v>
      </c>
      <c r="I8" s="13" t="s">
        <v>97</v>
      </c>
      <c r="J8" s="40" t="s">
        <v>72</v>
      </c>
      <c r="K8" s="45" t="s">
        <v>16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7.75" customHeight="1">
      <c r="A9" s="49">
        <v>6.0</v>
      </c>
      <c r="B9" s="50" t="s">
        <v>40</v>
      </c>
      <c r="C9" s="51" t="s">
        <v>33</v>
      </c>
      <c r="D9" s="38" t="s">
        <v>98</v>
      </c>
      <c r="E9" s="39" t="s">
        <v>39</v>
      </c>
      <c r="F9" s="10" t="s">
        <v>99</v>
      </c>
      <c r="G9" s="9" t="s">
        <v>100</v>
      </c>
      <c r="H9" s="10" t="s">
        <v>101</v>
      </c>
      <c r="I9" s="13" t="s">
        <v>102</v>
      </c>
      <c r="J9" s="40" t="s">
        <v>72</v>
      </c>
      <c r="K9" s="41" t="s">
        <v>38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52">
        <v>7.0</v>
      </c>
      <c r="B10" s="53" t="s">
        <v>46</v>
      </c>
      <c r="C10" s="54" t="s">
        <v>41</v>
      </c>
      <c r="D10" s="38" t="s">
        <v>103</v>
      </c>
      <c r="E10" s="39" t="s">
        <v>24</v>
      </c>
      <c r="F10" s="10" t="s">
        <v>104</v>
      </c>
      <c r="G10" s="9" t="s">
        <v>105</v>
      </c>
      <c r="H10" s="10" t="s">
        <v>106</v>
      </c>
      <c r="I10" s="13" t="s">
        <v>107</v>
      </c>
      <c r="J10" s="40" t="s">
        <v>72</v>
      </c>
      <c r="K10" s="45" t="s">
        <v>16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55">
        <v>8.0</v>
      </c>
      <c r="B11" s="56" t="s">
        <v>54</v>
      </c>
      <c r="C11" s="57" t="s">
        <v>47</v>
      </c>
      <c r="D11" s="38" t="s">
        <v>103</v>
      </c>
      <c r="E11" s="39" t="s">
        <v>53</v>
      </c>
      <c r="F11" s="10" t="s">
        <v>108</v>
      </c>
      <c r="G11" s="9" t="s">
        <v>109</v>
      </c>
      <c r="H11" s="10" t="s">
        <v>110</v>
      </c>
      <c r="I11" s="13" t="s">
        <v>111</v>
      </c>
      <c r="J11" s="40" t="s">
        <v>72</v>
      </c>
      <c r="K11" s="58" t="s">
        <v>52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55">
        <v>9.0</v>
      </c>
      <c r="B12" s="56" t="s">
        <v>112</v>
      </c>
      <c r="C12" s="57" t="s">
        <v>47</v>
      </c>
      <c r="D12" s="38" t="s">
        <v>98</v>
      </c>
      <c r="E12" s="39" t="s">
        <v>53</v>
      </c>
      <c r="F12" s="10" t="s">
        <v>113</v>
      </c>
      <c r="G12" s="9" t="s">
        <v>114</v>
      </c>
      <c r="H12" s="10" t="s">
        <v>115</v>
      </c>
      <c r="I12" s="13" t="s">
        <v>116</v>
      </c>
      <c r="J12" s="40" t="s">
        <v>72</v>
      </c>
      <c r="K12" s="45" t="s">
        <v>16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59">
        <v>10.0</v>
      </c>
      <c r="B13" s="60" t="s">
        <v>117</v>
      </c>
      <c r="C13" s="61" t="s">
        <v>118</v>
      </c>
      <c r="D13" s="38" t="s">
        <v>67</v>
      </c>
      <c r="E13" s="39" t="s">
        <v>119</v>
      </c>
      <c r="F13" s="10" t="s">
        <v>120</v>
      </c>
      <c r="G13" s="9" t="s">
        <v>121</v>
      </c>
      <c r="H13" s="10" t="s">
        <v>122</v>
      </c>
      <c r="I13" s="13" t="s">
        <v>123</v>
      </c>
      <c r="J13" s="40" t="s">
        <v>72</v>
      </c>
      <c r="K13" s="45" t="s">
        <v>16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59">
        <v>11.0</v>
      </c>
      <c r="B14" s="60" t="s">
        <v>124</v>
      </c>
      <c r="C14" s="61" t="s">
        <v>125</v>
      </c>
      <c r="D14" s="38" t="s">
        <v>67</v>
      </c>
      <c r="E14" s="39" t="s">
        <v>126</v>
      </c>
      <c r="F14" s="10" t="s">
        <v>127</v>
      </c>
      <c r="G14" s="9" t="s">
        <v>128</v>
      </c>
      <c r="H14" s="10" t="s">
        <v>129</v>
      </c>
      <c r="I14" s="13" t="s">
        <v>130</v>
      </c>
      <c r="J14" s="40" t="s">
        <v>72</v>
      </c>
      <c r="K14" s="45" t="s">
        <v>16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1B1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8.0"/>
    <col customWidth="1" min="4" max="5" width="22.0"/>
    <col customWidth="1" min="6" max="7" width="18.0"/>
    <col customWidth="1" min="8" max="8" width="14.0"/>
    <col customWidth="1" min="9" max="26" width="8.71"/>
  </cols>
  <sheetData>
    <row r="1" ht="27.75" customHeight="1">
      <c r="A1" s="33" t="s">
        <v>131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4" t="s">
        <v>132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2" t="s">
        <v>133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63" t="s">
        <v>2</v>
      </c>
      <c r="B4" s="63" t="s">
        <v>134</v>
      </c>
      <c r="C4" s="63" t="s">
        <v>135</v>
      </c>
      <c r="D4" s="63" t="s">
        <v>136</v>
      </c>
      <c r="E4" s="63" t="s">
        <v>137</v>
      </c>
      <c r="F4" s="63" t="s">
        <v>138</v>
      </c>
      <c r="G4" s="63" t="s">
        <v>139</v>
      </c>
      <c r="H4" s="63" t="s">
        <v>140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64">
        <v>1.0</v>
      </c>
      <c r="B5" s="9" t="s">
        <v>141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147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65">
        <v>2.0</v>
      </c>
      <c r="B6" s="10" t="s">
        <v>148</v>
      </c>
      <c r="C6" s="10" t="s">
        <v>149</v>
      </c>
      <c r="D6" s="10" t="s">
        <v>150</v>
      </c>
      <c r="E6" s="10" t="s">
        <v>151</v>
      </c>
      <c r="F6" s="10" t="s">
        <v>152</v>
      </c>
      <c r="G6" s="10" t="s">
        <v>153</v>
      </c>
      <c r="H6" s="10" t="s">
        <v>154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64">
        <v>3.0</v>
      </c>
      <c r="B7" s="9" t="s">
        <v>155</v>
      </c>
      <c r="C7" s="9" t="s">
        <v>156</v>
      </c>
      <c r="D7" s="9" t="s">
        <v>157</v>
      </c>
      <c r="E7" s="9" t="s">
        <v>158</v>
      </c>
      <c r="F7" s="9" t="s">
        <v>159</v>
      </c>
      <c r="G7" s="9" t="s">
        <v>160</v>
      </c>
      <c r="H7" s="9" t="s">
        <v>161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65">
        <v>4.0</v>
      </c>
      <c r="B8" s="10" t="s">
        <v>162</v>
      </c>
      <c r="C8" s="10" t="s">
        <v>163</v>
      </c>
      <c r="D8" s="10" t="s">
        <v>164</v>
      </c>
      <c r="E8" s="10" t="s">
        <v>165</v>
      </c>
      <c r="F8" s="10" t="s">
        <v>166</v>
      </c>
      <c r="G8" s="10" t="s">
        <v>167</v>
      </c>
      <c r="H8" s="10" t="s">
        <v>168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64">
        <v>5.0</v>
      </c>
      <c r="B9" s="9" t="s">
        <v>169</v>
      </c>
      <c r="C9" s="9" t="s">
        <v>170</v>
      </c>
      <c r="D9" s="9" t="s">
        <v>171</v>
      </c>
      <c r="E9" s="9" t="s">
        <v>172</v>
      </c>
      <c r="F9" s="9" t="s">
        <v>173</v>
      </c>
      <c r="G9" s="9" t="s">
        <v>174</v>
      </c>
      <c r="H9" s="9" t="s">
        <v>175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65">
        <v>6.0</v>
      </c>
      <c r="B10" s="10" t="s">
        <v>176</v>
      </c>
      <c r="C10" s="10" t="s">
        <v>177</v>
      </c>
      <c r="D10" s="10" t="s">
        <v>178</v>
      </c>
      <c r="E10" s="10" t="s">
        <v>179</v>
      </c>
      <c r="F10" s="10" t="s">
        <v>180</v>
      </c>
      <c r="G10" s="10" t="s">
        <v>181</v>
      </c>
      <c r="H10" s="10" t="s">
        <v>182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64">
        <v>7.0</v>
      </c>
      <c r="B11" s="9" t="s">
        <v>183</v>
      </c>
      <c r="C11" s="9" t="s">
        <v>184</v>
      </c>
      <c r="D11" s="9" t="s">
        <v>185</v>
      </c>
      <c r="E11" s="9" t="s">
        <v>186</v>
      </c>
      <c r="F11" s="9" t="s">
        <v>187</v>
      </c>
      <c r="G11" s="9" t="s">
        <v>188</v>
      </c>
      <c r="H11" s="9" t="s">
        <v>189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65">
        <v>8.0</v>
      </c>
      <c r="B12" s="10" t="s">
        <v>190</v>
      </c>
      <c r="C12" s="10" t="s">
        <v>191</v>
      </c>
      <c r="D12" s="10" t="s">
        <v>192</v>
      </c>
      <c r="E12" s="10" t="s">
        <v>193</v>
      </c>
      <c r="F12" s="10" t="s">
        <v>194</v>
      </c>
      <c r="G12" s="10" t="s">
        <v>195</v>
      </c>
      <c r="H12" s="10" t="s">
        <v>196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64">
        <v>9.0</v>
      </c>
      <c r="B13" s="9" t="s">
        <v>197</v>
      </c>
      <c r="C13" s="9" t="s">
        <v>198</v>
      </c>
      <c r="D13" s="9" t="s">
        <v>199</v>
      </c>
      <c r="E13" s="9" t="s">
        <v>200</v>
      </c>
      <c r="F13" s="9" t="s">
        <v>201</v>
      </c>
      <c r="G13" s="9" t="s">
        <v>202</v>
      </c>
      <c r="H13" s="9" t="s">
        <v>203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65">
        <v>10.0</v>
      </c>
      <c r="B14" s="10" t="s">
        <v>204</v>
      </c>
      <c r="C14" s="10" t="s">
        <v>205</v>
      </c>
      <c r="D14" s="10" t="s">
        <v>206</v>
      </c>
      <c r="E14" s="10" t="s">
        <v>207</v>
      </c>
      <c r="F14" s="10" t="s">
        <v>208</v>
      </c>
      <c r="G14" s="10" t="s">
        <v>209</v>
      </c>
      <c r="H14" s="10" t="s">
        <v>210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2" t="s">
        <v>211</v>
      </c>
      <c r="B16" s="31"/>
      <c r="C16" s="31"/>
      <c r="D16" s="31"/>
      <c r="E16" s="31"/>
      <c r="F16" s="31"/>
      <c r="G16" s="31"/>
      <c r="H16" s="32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63" t="s">
        <v>2</v>
      </c>
      <c r="B17" s="63" t="s">
        <v>212</v>
      </c>
      <c r="C17" s="63" t="s">
        <v>213</v>
      </c>
      <c r="D17" s="63" t="s">
        <v>214</v>
      </c>
      <c r="E17" s="63" t="s">
        <v>215</v>
      </c>
      <c r="F17" s="63" t="s">
        <v>216</v>
      </c>
      <c r="G17" s="63" t="s">
        <v>217</v>
      </c>
      <c r="H17" s="63" t="s">
        <v>218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3.5" customHeight="1">
      <c r="A18" s="64">
        <v>1.0</v>
      </c>
      <c r="B18" s="9" t="s">
        <v>219</v>
      </c>
      <c r="C18" s="9" t="s">
        <v>220</v>
      </c>
      <c r="D18" s="9" t="s">
        <v>162</v>
      </c>
      <c r="E18" s="9" t="s">
        <v>221</v>
      </c>
      <c r="F18" s="9" t="s">
        <v>222</v>
      </c>
      <c r="G18" s="9" t="s">
        <v>223</v>
      </c>
      <c r="H18" s="9" t="s">
        <v>224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3.5" customHeight="1">
      <c r="A19" s="65">
        <v>2.0</v>
      </c>
      <c r="B19" s="10" t="s">
        <v>225</v>
      </c>
      <c r="C19" s="10" t="s">
        <v>148</v>
      </c>
      <c r="D19" s="10" t="s">
        <v>162</v>
      </c>
      <c r="E19" s="10" t="s">
        <v>226</v>
      </c>
      <c r="F19" s="10" t="s">
        <v>227</v>
      </c>
      <c r="G19" s="10" t="s">
        <v>228</v>
      </c>
      <c r="H19" s="10" t="s">
        <v>229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5" customHeight="1">
      <c r="A20" s="64">
        <v>3.0</v>
      </c>
      <c r="B20" s="9" t="s">
        <v>230</v>
      </c>
      <c r="C20" s="9" t="s">
        <v>148</v>
      </c>
      <c r="D20" s="9" t="s">
        <v>162</v>
      </c>
      <c r="E20" s="9" t="s">
        <v>231</v>
      </c>
      <c r="F20" s="9" t="s">
        <v>232</v>
      </c>
      <c r="G20" s="9" t="s">
        <v>233</v>
      </c>
      <c r="H20" s="9" t="s">
        <v>234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3.5" customHeight="1">
      <c r="A21" s="65">
        <v>4.0</v>
      </c>
      <c r="B21" s="10" t="s">
        <v>235</v>
      </c>
      <c r="C21" s="10" t="s">
        <v>162</v>
      </c>
      <c r="D21" s="10" t="s">
        <v>155</v>
      </c>
      <c r="E21" s="10" t="s">
        <v>236</v>
      </c>
      <c r="F21" s="10" t="s">
        <v>237</v>
      </c>
      <c r="G21" s="10" t="s">
        <v>238</v>
      </c>
      <c r="H21" s="10" t="s">
        <v>239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3.5" customHeight="1">
      <c r="A22" s="64">
        <v>5.0</v>
      </c>
      <c r="B22" s="9" t="s">
        <v>240</v>
      </c>
      <c r="C22" s="9" t="s">
        <v>141</v>
      </c>
      <c r="D22" s="9" t="s">
        <v>169</v>
      </c>
      <c r="E22" s="9" t="s">
        <v>241</v>
      </c>
      <c r="F22" s="9" t="s">
        <v>242</v>
      </c>
      <c r="G22" s="9" t="s">
        <v>243</v>
      </c>
      <c r="H22" s="9" t="s">
        <v>244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3.5" customHeight="1">
      <c r="A23" s="65">
        <v>6.0</v>
      </c>
      <c r="B23" s="10" t="s">
        <v>245</v>
      </c>
      <c r="C23" s="10" t="s">
        <v>162</v>
      </c>
      <c r="D23" s="10" t="s">
        <v>197</v>
      </c>
      <c r="E23" s="10" t="s">
        <v>241</v>
      </c>
      <c r="F23" s="10" t="s">
        <v>246</v>
      </c>
      <c r="G23" s="10" t="s">
        <v>247</v>
      </c>
      <c r="H23" s="10" t="s">
        <v>248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3.5" customHeight="1">
      <c r="A24" s="64">
        <v>7.0</v>
      </c>
      <c r="B24" s="9" t="s">
        <v>249</v>
      </c>
      <c r="C24" s="9" t="s">
        <v>250</v>
      </c>
      <c r="D24" s="9" t="s">
        <v>183</v>
      </c>
      <c r="E24" s="9" t="s">
        <v>226</v>
      </c>
      <c r="F24" s="9" t="s">
        <v>251</v>
      </c>
      <c r="G24" s="9" t="s">
        <v>252</v>
      </c>
      <c r="H24" s="9" t="s">
        <v>253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3.5" customHeight="1">
      <c r="A25" s="65">
        <v>8.0</v>
      </c>
      <c r="B25" s="10" t="s">
        <v>254</v>
      </c>
      <c r="C25" s="10" t="s">
        <v>220</v>
      </c>
      <c r="D25" s="10" t="s">
        <v>220</v>
      </c>
      <c r="E25" s="10" t="s">
        <v>226</v>
      </c>
      <c r="F25" s="10" t="s">
        <v>255</v>
      </c>
      <c r="G25" s="10" t="s">
        <v>256</v>
      </c>
      <c r="H25" s="10" t="s">
        <v>257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3.5" customHeight="1">
      <c r="A26" s="64">
        <v>9.0</v>
      </c>
      <c r="B26" s="9" t="s">
        <v>258</v>
      </c>
      <c r="C26" s="9" t="s">
        <v>259</v>
      </c>
      <c r="D26" s="9" t="s">
        <v>190</v>
      </c>
      <c r="E26" s="9" t="s">
        <v>226</v>
      </c>
      <c r="F26" s="9" t="s">
        <v>260</v>
      </c>
      <c r="G26" s="9" t="s">
        <v>261</v>
      </c>
      <c r="H26" s="9" t="s">
        <v>262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3.5" customHeight="1">
      <c r="A27" s="65">
        <v>10.0</v>
      </c>
      <c r="B27" s="10" t="s">
        <v>263</v>
      </c>
      <c r="C27" s="10" t="s">
        <v>190</v>
      </c>
      <c r="D27" s="10" t="s">
        <v>264</v>
      </c>
      <c r="E27" s="10" t="s">
        <v>226</v>
      </c>
      <c r="F27" s="10" t="s">
        <v>265</v>
      </c>
      <c r="G27" s="10" t="s">
        <v>266</v>
      </c>
      <c r="H27" s="10" t="s">
        <v>267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2" t="s">
        <v>268</v>
      </c>
      <c r="B29" s="31"/>
      <c r="C29" s="31"/>
      <c r="D29" s="31"/>
      <c r="E29" s="31"/>
      <c r="F29" s="31"/>
      <c r="G29" s="31"/>
      <c r="H29" s="3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63" t="s">
        <v>2</v>
      </c>
      <c r="B30" s="63" t="s">
        <v>269</v>
      </c>
      <c r="C30" s="63" t="s">
        <v>270</v>
      </c>
      <c r="D30" s="63" t="s">
        <v>271</v>
      </c>
      <c r="E30" s="63" t="s">
        <v>272</v>
      </c>
      <c r="F30" s="63" t="s">
        <v>273</v>
      </c>
      <c r="G30" s="63" t="s">
        <v>8</v>
      </c>
      <c r="H30" s="63" t="s">
        <v>274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8.0" customHeight="1">
      <c r="A31" s="65">
        <v>1.0</v>
      </c>
      <c r="B31" s="10" t="s">
        <v>275</v>
      </c>
      <c r="C31" s="10" t="s">
        <v>276</v>
      </c>
      <c r="D31" s="10" t="s">
        <v>277</v>
      </c>
      <c r="E31" s="10" t="s">
        <v>278</v>
      </c>
      <c r="F31" s="10" t="s">
        <v>279</v>
      </c>
      <c r="G31" s="66" t="s">
        <v>52</v>
      </c>
      <c r="H31" s="10" t="s">
        <v>280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8.0" customHeight="1">
      <c r="A32" s="64">
        <v>2.0</v>
      </c>
      <c r="B32" s="9" t="s">
        <v>281</v>
      </c>
      <c r="C32" s="9" t="s">
        <v>282</v>
      </c>
      <c r="D32" s="9" t="s">
        <v>283</v>
      </c>
      <c r="E32" s="9" t="s">
        <v>284</v>
      </c>
      <c r="F32" s="9" t="s">
        <v>285</v>
      </c>
      <c r="G32" s="66" t="s">
        <v>52</v>
      </c>
      <c r="H32" s="9" t="s">
        <v>280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8.0" customHeight="1">
      <c r="A33" s="65">
        <v>3.0</v>
      </c>
      <c r="B33" s="10" t="s">
        <v>286</v>
      </c>
      <c r="C33" s="10" t="s">
        <v>287</v>
      </c>
      <c r="D33" s="10" t="s">
        <v>288</v>
      </c>
      <c r="E33" s="10" t="s">
        <v>289</v>
      </c>
      <c r="F33" s="10" t="s">
        <v>290</v>
      </c>
      <c r="G33" s="67" t="s">
        <v>16</v>
      </c>
      <c r="H33" s="10" t="s">
        <v>291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8.0" customHeight="1">
      <c r="A34" s="64">
        <v>4.0</v>
      </c>
      <c r="B34" s="9" t="s">
        <v>292</v>
      </c>
      <c r="C34" s="9" t="s">
        <v>293</v>
      </c>
      <c r="D34" s="9" t="s">
        <v>294</v>
      </c>
      <c r="E34" s="9" t="s">
        <v>295</v>
      </c>
      <c r="F34" s="9" t="s">
        <v>296</v>
      </c>
      <c r="G34" s="67" t="s">
        <v>16</v>
      </c>
      <c r="H34" s="9" t="s">
        <v>297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8.0" customHeight="1">
      <c r="A35" s="65">
        <v>5.0</v>
      </c>
      <c r="B35" s="10" t="s">
        <v>298</v>
      </c>
      <c r="C35" s="10" t="s">
        <v>299</v>
      </c>
      <c r="D35" s="10" t="s">
        <v>300</v>
      </c>
      <c r="E35" s="10" t="s">
        <v>301</v>
      </c>
      <c r="F35" s="10" t="s">
        <v>302</v>
      </c>
      <c r="G35" s="67" t="s">
        <v>16</v>
      </c>
      <c r="H35" s="10" t="s">
        <v>280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8.0" customHeight="1">
      <c r="A36" s="64">
        <v>6.0</v>
      </c>
      <c r="B36" s="9" t="s">
        <v>303</v>
      </c>
      <c r="C36" s="9" t="s">
        <v>304</v>
      </c>
      <c r="D36" s="9" t="s">
        <v>305</v>
      </c>
      <c r="E36" s="9" t="s">
        <v>306</v>
      </c>
      <c r="F36" s="9" t="s">
        <v>307</v>
      </c>
      <c r="G36" s="68" t="s">
        <v>38</v>
      </c>
      <c r="H36" s="9" t="s">
        <v>297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8.0" customHeight="1">
      <c r="A37" s="65">
        <v>7.0</v>
      </c>
      <c r="B37" s="10" t="s">
        <v>308</v>
      </c>
      <c r="C37" s="10" t="s">
        <v>309</v>
      </c>
      <c r="D37" s="10" t="s">
        <v>310</v>
      </c>
      <c r="E37" s="10" t="s">
        <v>311</v>
      </c>
      <c r="F37" s="10" t="s">
        <v>312</v>
      </c>
      <c r="G37" s="67" t="s">
        <v>16</v>
      </c>
      <c r="H37" s="10" t="s">
        <v>313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H1"/>
    <mergeCell ref="A2:H2"/>
    <mergeCell ref="A3:H3"/>
    <mergeCell ref="A16:H16"/>
    <mergeCell ref="A29:H2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4ED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3" width="14.0"/>
    <col customWidth="1" min="4" max="4" width="22.0"/>
    <col customWidth="1" min="5" max="5" width="24.0"/>
    <col customWidth="1" min="6" max="6" width="22.0"/>
    <col customWidth="1" min="7" max="7" width="18.0"/>
    <col customWidth="1" min="8" max="8" width="14.0"/>
    <col customWidth="1" min="9" max="9" width="16.0"/>
    <col customWidth="1" min="10" max="10" width="14.0"/>
    <col customWidth="1" min="11" max="26" width="8.71"/>
  </cols>
  <sheetData>
    <row r="1" ht="27.75" customHeight="1">
      <c r="A1" s="69" t="s">
        <v>314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70" t="s">
        <v>315</v>
      </c>
      <c r="B2" s="2"/>
      <c r="C2" s="2"/>
      <c r="D2" s="2"/>
      <c r="E2" s="2"/>
      <c r="F2" s="2"/>
      <c r="G2" s="2"/>
      <c r="H2" s="2"/>
      <c r="I2" s="2"/>
      <c r="J2" s="3"/>
    </row>
    <row r="3" ht="19.5" customHeight="1">
      <c r="A3" s="71" t="s">
        <v>2</v>
      </c>
      <c r="B3" s="71" t="s">
        <v>316</v>
      </c>
      <c r="C3" s="71" t="s">
        <v>317</v>
      </c>
      <c r="D3" s="71" t="s">
        <v>318</v>
      </c>
      <c r="E3" s="71" t="s">
        <v>319</v>
      </c>
      <c r="F3" s="71" t="s">
        <v>320</v>
      </c>
      <c r="G3" s="71" t="s">
        <v>321</v>
      </c>
      <c r="H3" s="71" t="s">
        <v>322</v>
      </c>
      <c r="I3" s="71" t="s">
        <v>323</v>
      </c>
      <c r="J3" s="71" t="s">
        <v>324</v>
      </c>
    </row>
    <row r="4" ht="61.5" customHeight="1">
      <c r="A4" s="72">
        <v>1.0</v>
      </c>
      <c r="B4" s="73" t="s">
        <v>325</v>
      </c>
      <c r="C4" s="9" t="s">
        <v>326</v>
      </c>
      <c r="D4" s="9" t="s">
        <v>327</v>
      </c>
      <c r="E4" s="9" t="s">
        <v>328</v>
      </c>
      <c r="F4" s="9" t="s">
        <v>329</v>
      </c>
      <c r="G4" s="9" t="s">
        <v>330</v>
      </c>
      <c r="H4" s="68" t="s">
        <v>331</v>
      </c>
      <c r="I4" s="9" t="s">
        <v>332</v>
      </c>
      <c r="J4" s="9" t="s">
        <v>333</v>
      </c>
    </row>
    <row r="5" ht="61.5" customHeight="1">
      <c r="A5" s="74">
        <v>2.0</v>
      </c>
      <c r="B5" s="75" t="s">
        <v>334</v>
      </c>
      <c r="C5" s="10" t="s">
        <v>335</v>
      </c>
      <c r="D5" s="10" t="s">
        <v>336</v>
      </c>
      <c r="E5" s="10" t="s">
        <v>337</v>
      </c>
      <c r="F5" s="10" t="s">
        <v>338</v>
      </c>
      <c r="G5" s="10" t="s">
        <v>339</v>
      </c>
      <c r="H5" s="67" t="s">
        <v>38</v>
      </c>
      <c r="I5" s="10" t="s">
        <v>340</v>
      </c>
      <c r="J5" s="10" t="s">
        <v>333</v>
      </c>
    </row>
    <row r="6" ht="61.5" customHeight="1">
      <c r="A6" s="72">
        <v>3.0</v>
      </c>
      <c r="B6" s="73" t="s">
        <v>341</v>
      </c>
      <c r="C6" s="9" t="s">
        <v>342</v>
      </c>
      <c r="D6" s="9" t="s">
        <v>343</v>
      </c>
      <c r="E6" s="9" t="s">
        <v>344</v>
      </c>
      <c r="F6" s="9" t="s">
        <v>345</v>
      </c>
      <c r="G6" s="9" t="s">
        <v>346</v>
      </c>
      <c r="H6" s="76" t="s">
        <v>347</v>
      </c>
      <c r="I6" s="9" t="s">
        <v>348</v>
      </c>
      <c r="J6" s="9" t="s">
        <v>333</v>
      </c>
    </row>
    <row r="7" ht="61.5" customHeight="1">
      <c r="A7" s="74">
        <v>4.0</v>
      </c>
      <c r="B7" s="75" t="s">
        <v>349</v>
      </c>
      <c r="C7" s="10" t="s">
        <v>350</v>
      </c>
      <c r="D7" s="10" t="s">
        <v>351</v>
      </c>
      <c r="E7" s="10" t="s">
        <v>352</v>
      </c>
      <c r="F7" s="10" t="s">
        <v>353</v>
      </c>
      <c r="G7" s="10" t="s">
        <v>354</v>
      </c>
      <c r="H7" s="66" t="s">
        <v>355</v>
      </c>
      <c r="I7" s="10" t="s">
        <v>356</v>
      </c>
      <c r="J7" s="10" t="s">
        <v>333</v>
      </c>
    </row>
    <row r="8" ht="61.5" customHeight="1">
      <c r="A8" s="72">
        <v>5.0</v>
      </c>
      <c r="B8" s="73" t="s">
        <v>357</v>
      </c>
      <c r="C8" s="9" t="s">
        <v>358</v>
      </c>
      <c r="D8" s="9" t="s">
        <v>359</v>
      </c>
      <c r="E8" s="9" t="s">
        <v>360</v>
      </c>
      <c r="F8" s="9" t="s">
        <v>361</v>
      </c>
      <c r="G8" s="9" t="s">
        <v>362</v>
      </c>
      <c r="H8" s="67" t="s">
        <v>38</v>
      </c>
      <c r="I8" s="9" t="s">
        <v>363</v>
      </c>
      <c r="J8" s="9" t="s">
        <v>333</v>
      </c>
    </row>
    <row r="10" ht="21.75" customHeight="1">
      <c r="A10" s="77" t="s">
        <v>364</v>
      </c>
      <c r="B10" s="31"/>
      <c r="C10" s="31"/>
      <c r="D10" s="31"/>
      <c r="E10" s="31"/>
      <c r="F10" s="31"/>
      <c r="G10" s="31"/>
      <c r="H10" s="31"/>
      <c r="I10" s="31"/>
      <c r="J10" s="32"/>
    </row>
    <row r="11" ht="27.75" customHeight="1">
      <c r="A11" s="78">
        <v>1.0</v>
      </c>
      <c r="B11" s="79" t="s">
        <v>365</v>
      </c>
      <c r="C11" s="31"/>
      <c r="D11" s="32"/>
      <c r="E11" s="80" t="s">
        <v>366</v>
      </c>
      <c r="F11" s="31"/>
      <c r="G11" s="31"/>
      <c r="H11" s="31"/>
      <c r="I11" s="31"/>
      <c r="J11" s="32"/>
    </row>
    <row r="12" ht="27.75" customHeight="1">
      <c r="A12" s="78">
        <v>2.0</v>
      </c>
      <c r="B12" s="79" t="s">
        <v>367</v>
      </c>
      <c r="C12" s="31"/>
      <c r="D12" s="32"/>
      <c r="E12" s="80" t="s">
        <v>368</v>
      </c>
      <c r="F12" s="31"/>
      <c r="G12" s="31"/>
      <c r="H12" s="31"/>
      <c r="I12" s="31"/>
      <c r="J12" s="32"/>
    </row>
    <row r="13" ht="27.75" customHeight="1">
      <c r="A13" s="78">
        <v>3.0</v>
      </c>
      <c r="B13" s="79" t="s">
        <v>369</v>
      </c>
      <c r="C13" s="31"/>
      <c r="D13" s="32"/>
      <c r="E13" s="80" t="s">
        <v>370</v>
      </c>
      <c r="F13" s="31"/>
      <c r="G13" s="31"/>
      <c r="H13" s="31"/>
      <c r="I13" s="31"/>
      <c r="J13" s="32"/>
    </row>
    <row r="14" ht="27.75" customHeight="1">
      <c r="A14" s="78">
        <v>4.0</v>
      </c>
      <c r="B14" s="79" t="s">
        <v>371</v>
      </c>
      <c r="C14" s="31"/>
      <c r="D14" s="32"/>
      <c r="E14" s="80" t="s">
        <v>372</v>
      </c>
      <c r="F14" s="31"/>
      <c r="G14" s="31"/>
      <c r="H14" s="31"/>
      <c r="I14" s="31"/>
      <c r="J14" s="32"/>
    </row>
    <row r="15" ht="27.75" customHeight="1">
      <c r="A15" s="78">
        <v>5.0</v>
      </c>
      <c r="B15" s="79" t="s">
        <v>373</v>
      </c>
      <c r="C15" s="31"/>
      <c r="D15" s="32"/>
      <c r="E15" s="80" t="s">
        <v>374</v>
      </c>
      <c r="F15" s="31"/>
      <c r="G15" s="31"/>
      <c r="H15" s="31"/>
      <c r="I15" s="31"/>
      <c r="J15" s="32"/>
    </row>
    <row r="16" ht="27.75" customHeight="1">
      <c r="A16" s="78">
        <v>6.0</v>
      </c>
      <c r="B16" s="79" t="s">
        <v>375</v>
      </c>
      <c r="C16" s="31"/>
      <c r="D16" s="32"/>
      <c r="E16" s="80" t="s">
        <v>376</v>
      </c>
      <c r="F16" s="31"/>
      <c r="G16" s="31"/>
      <c r="H16" s="31"/>
      <c r="I16" s="31"/>
      <c r="J16" s="32"/>
    </row>
    <row r="17" ht="27.75" customHeight="1">
      <c r="A17" s="78">
        <v>7.0</v>
      </c>
      <c r="B17" s="79" t="s">
        <v>377</v>
      </c>
      <c r="C17" s="31"/>
      <c r="D17" s="32"/>
      <c r="E17" s="80" t="s">
        <v>378</v>
      </c>
      <c r="F17" s="31"/>
      <c r="G17" s="31"/>
      <c r="H17" s="31"/>
      <c r="I17" s="31"/>
      <c r="J17" s="32"/>
    </row>
    <row r="18" ht="27.75" customHeight="1">
      <c r="A18" s="78">
        <v>8.0</v>
      </c>
      <c r="B18" s="79" t="s">
        <v>379</v>
      </c>
      <c r="C18" s="31"/>
      <c r="D18" s="32"/>
      <c r="E18" s="80" t="s">
        <v>380</v>
      </c>
      <c r="F18" s="31"/>
      <c r="G18" s="31"/>
      <c r="H18" s="31"/>
      <c r="I18" s="31"/>
      <c r="J18" s="32"/>
    </row>
    <row r="19" ht="27.75" customHeight="1">
      <c r="A19" s="78">
        <v>9.0</v>
      </c>
      <c r="B19" s="79" t="s">
        <v>381</v>
      </c>
      <c r="C19" s="31"/>
      <c r="D19" s="32"/>
      <c r="E19" s="80" t="s">
        <v>382</v>
      </c>
      <c r="F19" s="31"/>
      <c r="G19" s="31"/>
      <c r="H19" s="31"/>
      <c r="I19" s="31"/>
      <c r="J19" s="32"/>
    </row>
    <row r="20" ht="27.75" customHeight="1">
      <c r="A20" s="78">
        <v>10.0</v>
      </c>
      <c r="B20" s="79" t="s">
        <v>383</v>
      </c>
      <c r="C20" s="31"/>
      <c r="D20" s="32"/>
      <c r="E20" s="80" t="s">
        <v>384</v>
      </c>
      <c r="F20" s="31"/>
      <c r="G20" s="31"/>
      <c r="H20" s="31"/>
      <c r="I20" s="31"/>
      <c r="J20" s="32"/>
    </row>
    <row r="21" ht="27.75" customHeight="1">
      <c r="A21" s="78">
        <v>11.0</v>
      </c>
      <c r="B21" s="79" t="s">
        <v>385</v>
      </c>
      <c r="C21" s="31"/>
      <c r="D21" s="32"/>
      <c r="E21" s="80" t="s">
        <v>386</v>
      </c>
      <c r="F21" s="31"/>
      <c r="G21" s="31"/>
      <c r="H21" s="31"/>
      <c r="I21" s="31"/>
      <c r="J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J1"/>
    <mergeCell ref="A2:J2"/>
    <mergeCell ref="A10:J10"/>
    <mergeCell ref="B11:D11"/>
    <mergeCell ref="E11:J11"/>
    <mergeCell ref="B12:D12"/>
    <mergeCell ref="E12:J12"/>
    <mergeCell ref="B16:D16"/>
    <mergeCell ref="B17:D17"/>
    <mergeCell ref="B18:D18"/>
    <mergeCell ref="B19:D19"/>
    <mergeCell ref="B20:D20"/>
    <mergeCell ref="B21:D21"/>
    <mergeCell ref="E17:J17"/>
    <mergeCell ref="E18:J18"/>
    <mergeCell ref="E19:J19"/>
    <mergeCell ref="E20:J20"/>
    <mergeCell ref="E21:J21"/>
    <mergeCell ref="B13:D13"/>
    <mergeCell ref="E13:J13"/>
    <mergeCell ref="B14:D14"/>
    <mergeCell ref="E14:J14"/>
    <mergeCell ref="B15:D15"/>
    <mergeCell ref="E15:J15"/>
    <mergeCell ref="E16:J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65F4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3" width="20.86"/>
    <col customWidth="1" min="4" max="4" width="14.0"/>
    <col customWidth="1" min="5" max="6" width="20.0"/>
    <col customWidth="1" min="7" max="8" width="18.0"/>
    <col customWidth="1" min="9" max="10" width="14.0"/>
    <col customWidth="1" min="11" max="11" width="16.0"/>
    <col customWidth="1" min="12" max="26" width="8.71"/>
  </cols>
  <sheetData>
    <row r="1" ht="27.75" customHeight="1">
      <c r="A1" s="33" t="s">
        <v>387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4" t="s">
        <v>388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2</v>
      </c>
      <c r="B3" s="6" t="s">
        <v>389</v>
      </c>
      <c r="C3" s="6" t="s">
        <v>390</v>
      </c>
      <c r="D3" s="6" t="s">
        <v>317</v>
      </c>
      <c r="E3" s="6" t="s">
        <v>391</v>
      </c>
      <c r="F3" s="6" t="s">
        <v>392</v>
      </c>
      <c r="G3" s="6" t="s">
        <v>393</v>
      </c>
      <c r="H3" s="6" t="s">
        <v>394</v>
      </c>
      <c r="I3" s="6" t="s">
        <v>395</v>
      </c>
      <c r="J3" s="6" t="s">
        <v>396</v>
      </c>
      <c r="K3" s="6" t="s">
        <v>397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81">
        <v>1.0</v>
      </c>
      <c r="B4" s="82" t="s">
        <v>398</v>
      </c>
      <c r="C4" s="39" t="s">
        <v>334</v>
      </c>
      <c r="D4" s="44" t="s">
        <v>399</v>
      </c>
      <c r="E4" s="11" t="s">
        <v>400</v>
      </c>
      <c r="F4" s="9" t="s">
        <v>401</v>
      </c>
      <c r="G4" s="9" t="s">
        <v>402</v>
      </c>
      <c r="H4" s="48" t="s">
        <v>403</v>
      </c>
      <c r="I4" s="83">
        <v>5.0</v>
      </c>
      <c r="J4" s="83">
        <v>2.0</v>
      </c>
      <c r="K4" s="84">
        <f t="shared" ref="K4:K17" si="1">IFERROR(ROUND(I4*2/J4,1),"-")</f>
        <v>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85">
        <v>2.0</v>
      </c>
      <c r="B5" s="86" t="s">
        <v>404</v>
      </c>
      <c r="C5" s="87" t="s">
        <v>349</v>
      </c>
      <c r="D5" s="57" t="s">
        <v>405</v>
      </c>
      <c r="E5" s="88" t="s">
        <v>406</v>
      </c>
      <c r="F5" s="10" t="s">
        <v>407</v>
      </c>
      <c r="G5" s="10" t="s">
        <v>408</v>
      </c>
      <c r="H5" s="57" t="s">
        <v>409</v>
      </c>
      <c r="I5" s="83">
        <v>5.0</v>
      </c>
      <c r="J5" s="83">
        <v>3.0</v>
      </c>
      <c r="K5" s="84">
        <f t="shared" si="1"/>
        <v>3.3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5" customHeight="1">
      <c r="A6" s="81">
        <v>3.0</v>
      </c>
      <c r="B6" s="82" t="s">
        <v>410</v>
      </c>
      <c r="C6" s="39" t="s">
        <v>349</v>
      </c>
      <c r="D6" s="57" t="s">
        <v>405</v>
      </c>
      <c r="E6" s="11" t="s">
        <v>411</v>
      </c>
      <c r="F6" s="9" t="s">
        <v>412</v>
      </c>
      <c r="G6" s="9" t="s">
        <v>413</v>
      </c>
      <c r="H6" s="57" t="s">
        <v>414</v>
      </c>
      <c r="I6" s="83">
        <v>5.0</v>
      </c>
      <c r="J6" s="83">
        <v>2.0</v>
      </c>
      <c r="K6" s="84">
        <f t="shared" si="1"/>
        <v>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3.5" customHeight="1">
      <c r="A7" s="85">
        <v>4.0</v>
      </c>
      <c r="B7" s="86" t="s">
        <v>415</v>
      </c>
      <c r="C7" s="87" t="s">
        <v>349</v>
      </c>
      <c r="D7" s="57" t="s">
        <v>405</v>
      </c>
      <c r="E7" s="88" t="s">
        <v>416</v>
      </c>
      <c r="F7" s="10" t="s">
        <v>417</v>
      </c>
      <c r="G7" s="10" t="s">
        <v>418</v>
      </c>
      <c r="H7" s="57" t="s">
        <v>419</v>
      </c>
      <c r="I7" s="83">
        <v>5.0</v>
      </c>
      <c r="J7" s="83">
        <v>3.0</v>
      </c>
      <c r="K7" s="84">
        <f t="shared" si="1"/>
        <v>3.3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3.5" customHeight="1">
      <c r="A8" s="81">
        <v>5.0</v>
      </c>
      <c r="B8" s="82" t="s">
        <v>420</v>
      </c>
      <c r="C8" s="39" t="s">
        <v>341</v>
      </c>
      <c r="D8" s="48" t="s">
        <v>190</v>
      </c>
      <c r="E8" s="11" t="s">
        <v>421</v>
      </c>
      <c r="F8" s="9" t="s">
        <v>422</v>
      </c>
      <c r="G8" s="9" t="s">
        <v>423</v>
      </c>
      <c r="H8" s="57" t="s">
        <v>424</v>
      </c>
      <c r="I8" s="83">
        <v>4.0</v>
      </c>
      <c r="J8" s="83">
        <v>2.0</v>
      </c>
      <c r="K8" s="84">
        <f t="shared" si="1"/>
        <v>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3.5" customHeight="1">
      <c r="A9" s="85">
        <v>6.0</v>
      </c>
      <c r="B9" s="86" t="s">
        <v>425</v>
      </c>
      <c r="C9" s="87" t="s">
        <v>341</v>
      </c>
      <c r="D9" s="48" t="s">
        <v>190</v>
      </c>
      <c r="E9" s="88" t="s">
        <v>426</v>
      </c>
      <c r="F9" s="10" t="s">
        <v>427</v>
      </c>
      <c r="G9" s="10" t="s">
        <v>428</v>
      </c>
      <c r="H9" s="57" t="s">
        <v>424</v>
      </c>
      <c r="I9" s="83">
        <v>4.0</v>
      </c>
      <c r="J9" s="83">
        <v>2.0</v>
      </c>
      <c r="K9" s="84">
        <f t="shared" si="1"/>
        <v>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3.5" customHeight="1">
      <c r="A10" s="81">
        <v>7.0</v>
      </c>
      <c r="B10" s="82" t="s">
        <v>429</v>
      </c>
      <c r="C10" s="39" t="s">
        <v>357</v>
      </c>
      <c r="D10" s="54" t="s">
        <v>86</v>
      </c>
      <c r="E10" s="11" t="s">
        <v>430</v>
      </c>
      <c r="F10" s="9" t="s">
        <v>431</v>
      </c>
      <c r="G10" s="9" t="s">
        <v>432</v>
      </c>
      <c r="H10" s="48" t="s">
        <v>433</v>
      </c>
      <c r="I10" s="83">
        <v>4.0</v>
      </c>
      <c r="J10" s="83">
        <v>1.0</v>
      </c>
      <c r="K10" s="84">
        <f t="shared" si="1"/>
        <v>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5" customHeight="1">
      <c r="A11" s="85">
        <v>8.0</v>
      </c>
      <c r="B11" s="86" t="s">
        <v>434</v>
      </c>
      <c r="C11" s="87" t="s">
        <v>341</v>
      </c>
      <c r="D11" s="48" t="s">
        <v>190</v>
      </c>
      <c r="E11" s="88" t="s">
        <v>435</v>
      </c>
      <c r="F11" s="10" t="s">
        <v>436</v>
      </c>
      <c r="G11" s="10" t="s">
        <v>437</v>
      </c>
      <c r="H11" s="57" t="s">
        <v>438</v>
      </c>
      <c r="I11" s="83">
        <v>4.0</v>
      </c>
      <c r="J11" s="83">
        <v>3.0</v>
      </c>
      <c r="K11" s="84">
        <f t="shared" si="1"/>
        <v>2.7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3.5" customHeight="1">
      <c r="A12" s="81">
        <v>9.0</v>
      </c>
      <c r="B12" s="82" t="s">
        <v>439</v>
      </c>
      <c r="C12" s="39" t="s">
        <v>349</v>
      </c>
      <c r="D12" s="57" t="s">
        <v>405</v>
      </c>
      <c r="E12" s="11" t="s">
        <v>440</v>
      </c>
      <c r="F12" s="9" t="s">
        <v>441</v>
      </c>
      <c r="G12" s="9" t="s">
        <v>442</v>
      </c>
      <c r="H12" s="48" t="s">
        <v>433</v>
      </c>
      <c r="I12" s="83">
        <v>4.0</v>
      </c>
      <c r="J12" s="83">
        <v>1.0</v>
      </c>
      <c r="K12" s="84">
        <f t="shared" si="1"/>
        <v>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3.5" customHeight="1">
      <c r="A13" s="85">
        <v>10.0</v>
      </c>
      <c r="B13" s="86" t="s">
        <v>443</v>
      </c>
      <c r="C13" s="87" t="s">
        <v>334</v>
      </c>
      <c r="D13" s="44" t="s">
        <v>399</v>
      </c>
      <c r="E13" s="88" t="s">
        <v>444</v>
      </c>
      <c r="F13" s="10" t="s">
        <v>445</v>
      </c>
      <c r="G13" s="10" t="s">
        <v>446</v>
      </c>
      <c r="H13" s="48" t="s">
        <v>403</v>
      </c>
      <c r="I13" s="83">
        <v>3.0</v>
      </c>
      <c r="J13" s="83">
        <v>2.0</v>
      </c>
      <c r="K13" s="84">
        <f t="shared" si="1"/>
        <v>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3.5" customHeight="1">
      <c r="A14" s="81">
        <v>11.0</v>
      </c>
      <c r="B14" s="82" t="s">
        <v>447</v>
      </c>
      <c r="C14" s="39" t="s">
        <v>334</v>
      </c>
      <c r="D14" s="44" t="s">
        <v>399</v>
      </c>
      <c r="E14" s="11" t="s">
        <v>448</v>
      </c>
      <c r="F14" s="9" t="s">
        <v>449</v>
      </c>
      <c r="G14" s="9" t="s">
        <v>450</v>
      </c>
      <c r="H14" s="48" t="s">
        <v>403</v>
      </c>
      <c r="I14" s="83">
        <v>3.0</v>
      </c>
      <c r="J14" s="83">
        <v>2.0</v>
      </c>
      <c r="K14" s="84">
        <f t="shared" si="1"/>
        <v>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3.5" customHeight="1">
      <c r="A15" s="85">
        <v>12.0</v>
      </c>
      <c r="B15" s="86" t="s">
        <v>451</v>
      </c>
      <c r="C15" s="87" t="s">
        <v>357</v>
      </c>
      <c r="D15" s="54" t="s">
        <v>86</v>
      </c>
      <c r="E15" s="88" t="s">
        <v>452</v>
      </c>
      <c r="F15" s="10" t="s">
        <v>453</v>
      </c>
      <c r="G15" s="10" t="s">
        <v>454</v>
      </c>
      <c r="H15" s="57" t="s">
        <v>455</v>
      </c>
      <c r="I15" s="83">
        <v>3.0</v>
      </c>
      <c r="J15" s="83">
        <v>3.0</v>
      </c>
      <c r="K15" s="84">
        <f t="shared" si="1"/>
        <v>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3.5" customHeight="1">
      <c r="A16" s="81">
        <v>13.0</v>
      </c>
      <c r="B16" s="82" t="s">
        <v>456</v>
      </c>
      <c r="C16" s="39" t="s">
        <v>325</v>
      </c>
      <c r="D16" s="37" t="s">
        <v>457</v>
      </c>
      <c r="E16" s="11" t="s">
        <v>458</v>
      </c>
      <c r="F16" s="9" t="s">
        <v>459</v>
      </c>
      <c r="G16" s="9" t="s">
        <v>460</v>
      </c>
      <c r="H16" s="48" t="s">
        <v>403</v>
      </c>
      <c r="I16" s="83">
        <v>5.0</v>
      </c>
      <c r="J16" s="83">
        <v>1.0</v>
      </c>
      <c r="K16" s="84">
        <f t="shared" si="1"/>
        <v>10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5" customHeight="1">
      <c r="A17" s="85">
        <v>14.0</v>
      </c>
      <c r="B17" s="86" t="s">
        <v>461</v>
      </c>
      <c r="C17" s="87" t="s">
        <v>325</v>
      </c>
      <c r="D17" s="51" t="s">
        <v>462</v>
      </c>
      <c r="E17" s="88" t="s">
        <v>463</v>
      </c>
      <c r="F17" s="10" t="s">
        <v>464</v>
      </c>
      <c r="G17" s="10" t="s">
        <v>465</v>
      </c>
      <c r="H17" s="48" t="s">
        <v>403</v>
      </c>
      <c r="I17" s="83">
        <v>5.0</v>
      </c>
      <c r="J17" s="83">
        <v>1.0</v>
      </c>
      <c r="K17" s="84">
        <f t="shared" si="1"/>
        <v>10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89" t="s">
        <v>466</v>
      </c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90">
        <v>1.0</v>
      </c>
      <c r="B20" s="91" t="s">
        <v>467</v>
      </c>
      <c r="C20" s="31"/>
      <c r="D20" s="32"/>
      <c r="E20" s="80" t="s">
        <v>468</v>
      </c>
      <c r="F20" s="31"/>
      <c r="G20" s="31"/>
      <c r="H20" s="31"/>
      <c r="I20" s="31"/>
      <c r="J20" s="31"/>
      <c r="K20" s="3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90">
        <v>2.0</v>
      </c>
      <c r="B21" s="91" t="s">
        <v>469</v>
      </c>
      <c r="C21" s="31"/>
      <c r="D21" s="32"/>
      <c r="E21" s="80" t="s">
        <v>470</v>
      </c>
      <c r="F21" s="31"/>
      <c r="G21" s="31"/>
      <c r="H21" s="31"/>
      <c r="I21" s="31"/>
      <c r="J21" s="31"/>
      <c r="K21" s="3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90">
        <v>3.0</v>
      </c>
      <c r="B22" s="91" t="s">
        <v>471</v>
      </c>
      <c r="C22" s="31"/>
      <c r="D22" s="32"/>
      <c r="E22" s="80" t="s">
        <v>472</v>
      </c>
      <c r="F22" s="31"/>
      <c r="G22" s="31"/>
      <c r="H22" s="31"/>
      <c r="I22" s="31"/>
      <c r="J22" s="31"/>
      <c r="K22" s="3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90">
        <v>4.0</v>
      </c>
      <c r="B23" s="91" t="s">
        <v>473</v>
      </c>
      <c r="C23" s="31"/>
      <c r="D23" s="32"/>
      <c r="E23" s="80" t="s">
        <v>474</v>
      </c>
      <c r="F23" s="31"/>
      <c r="G23" s="31"/>
      <c r="H23" s="31"/>
      <c r="I23" s="31"/>
      <c r="J23" s="31"/>
      <c r="K23" s="3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90">
        <v>5.0</v>
      </c>
      <c r="B24" s="91" t="s">
        <v>475</v>
      </c>
      <c r="C24" s="31"/>
      <c r="D24" s="32"/>
      <c r="E24" s="80" t="s">
        <v>476</v>
      </c>
      <c r="F24" s="31"/>
      <c r="G24" s="31"/>
      <c r="H24" s="31"/>
      <c r="I24" s="31"/>
      <c r="J24" s="31"/>
      <c r="K24" s="3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90">
        <v>6.0</v>
      </c>
      <c r="B25" s="91" t="s">
        <v>477</v>
      </c>
      <c r="C25" s="31"/>
      <c r="D25" s="32"/>
      <c r="E25" s="80" t="s">
        <v>478</v>
      </c>
      <c r="F25" s="31"/>
      <c r="G25" s="31"/>
      <c r="H25" s="31"/>
      <c r="I25" s="31"/>
      <c r="J25" s="31"/>
      <c r="K25" s="3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90">
        <v>7.0</v>
      </c>
      <c r="B26" s="91" t="s">
        <v>479</v>
      </c>
      <c r="C26" s="31"/>
      <c r="D26" s="32"/>
      <c r="E26" s="80" t="s">
        <v>480</v>
      </c>
      <c r="F26" s="31"/>
      <c r="G26" s="31"/>
      <c r="H26" s="31"/>
      <c r="I26" s="31"/>
      <c r="J26" s="31"/>
      <c r="K26" s="3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90">
        <v>8.0</v>
      </c>
      <c r="B27" s="91" t="s">
        <v>481</v>
      </c>
      <c r="C27" s="31"/>
      <c r="D27" s="32"/>
      <c r="E27" s="80" t="s">
        <v>482</v>
      </c>
      <c r="F27" s="31"/>
      <c r="G27" s="31"/>
      <c r="H27" s="31"/>
      <c r="I27" s="31"/>
      <c r="J27" s="31"/>
      <c r="K27" s="3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90">
        <v>9.0</v>
      </c>
      <c r="B28" s="91" t="s">
        <v>483</v>
      </c>
      <c r="C28" s="31"/>
      <c r="D28" s="32"/>
      <c r="E28" s="80" t="s">
        <v>484</v>
      </c>
      <c r="F28" s="31"/>
      <c r="G28" s="31"/>
      <c r="H28" s="31"/>
      <c r="I28" s="31"/>
      <c r="J28" s="31"/>
      <c r="K28" s="3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90">
        <v>10.0</v>
      </c>
      <c r="B29" s="91" t="s">
        <v>485</v>
      </c>
      <c r="C29" s="31"/>
      <c r="D29" s="32"/>
      <c r="E29" s="80" t="s">
        <v>486</v>
      </c>
      <c r="F29" s="31"/>
      <c r="G29" s="31"/>
      <c r="H29" s="31"/>
      <c r="I29" s="31"/>
      <c r="J29" s="31"/>
      <c r="K29" s="3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90">
        <v>11.0</v>
      </c>
      <c r="B30" s="91" t="s">
        <v>487</v>
      </c>
      <c r="C30" s="31"/>
      <c r="D30" s="32"/>
      <c r="E30" s="80" t="s">
        <v>488</v>
      </c>
      <c r="F30" s="31"/>
      <c r="G30" s="31"/>
      <c r="H30" s="31"/>
      <c r="I30" s="31"/>
      <c r="J30" s="31"/>
      <c r="K30" s="3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K1"/>
    <mergeCell ref="A2:K2"/>
    <mergeCell ref="A19:K19"/>
    <mergeCell ref="B20:D20"/>
    <mergeCell ref="E20:K20"/>
    <mergeCell ref="B21:D21"/>
    <mergeCell ref="E21:K21"/>
    <mergeCell ref="B25:D25"/>
    <mergeCell ref="B26:D26"/>
    <mergeCell ref="B27:D27"/>
    <mergeCell ref="B28:D28"/>
    <mergeCell ref="B29:D29"/>
    <mergeCell ref="B30:D30"/>
    <mergeCell ref="E26:K26"/>
    <mergeCell ref="E27:K27"/>
    <mergeCell ref="E28:K28"/>
    <mergeCell ref="E29:K29"/>
    <mergeCell ref="E30:K30"/>
    <mergeCell ref="B22:D22"/>
    <mergeCell ref="E22:K22"/>
    <mergeCell ref="B23:D23"/>
    <mergeCell ref="E23:K23"/>
    <mergeCell ref="B24:D24"/>
    <mergeCell ref="E24:K24"/>
    <mergeCell ref="E25:K25"/>
  </mergeCells>
  <conditionalFormatting sqref="K4:K17">
    <cfRule type="colorScale" priority="1">
      <colorScale>
        <cfvo type="min" val="0"/>
        <cfvo type="percentile" val="50"/>
        <cfvo type="max" val="0"/>
        <color rgb="FFFCA5A5"/>
        <color rgb="FFFDE68A"/>
        <color rgb="FFA7F3D0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400E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0.0"/>
    <col customWidth="1" min="3" max="3" width="18.0"/>
    <col customWidth="1" min="4" max="4" width="22.0"/>
    <col customWidth="1" min="5" max="5" width="20.0"/>
    <col customWidth="1" min="6" max="7" width="18.0"/>
    <col customWidth="1" min="8" max="8" width="16.0"/>
    <col customWidth="1" min="9" max="26" width="8.71"/>
  </cols>
  <sheetData>
    <row r="1" ht="27.75" customHeight="1">
      <c r="A1" s="33" t="s">
        <v>489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4" t="s">
        <v>490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92" t="s">
        <v>491</v>
      </c>
      <c r="B3" s="31"/>
      <c r="C3" s="31"/>
      <c r="D3" s="31"/>
      <c r="E3" s="31"/>
      <c r="F3" s="31"/>
      <c r="G3" s="31"/>
      <c r="H3" s="3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3" t="s">
        <v>2</v>
      </c>
      <c r="B4" s="63" t="s">
        <v>492</v>
      </c>
      <c r="C4" s="63" t="s">
        <v>493</v>
      </c>
      <c r="D4" s="63" t="s">
        <v>494</v>
      </c>
      <c r="E4" s="63" t="s">
        <v>495</v>
      </c>
      <c r="F4" s="63" t="s">
        <v>496</v>
      </c>
      <c r="G4" s="63" t="s">
        <v>497</v>
      </c>
      <c r="H4" s="63" t="s">
        <v>140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7.5" customHeight="1">
      <c r="A5" s="93">
        <v>1.0</v>
      </c>
      <c r="B5" s="93" t="s">
        <v>498</v>
      </c>
      <c r="C5" s="9" t="s">
        <v>499</v>
      </c>
      <c r="D5" s="9" t="s">
        <v>500</v>
      </c>
      <c r="E5" s="9" t="s">
        <v>501</v>
      </c>
      <c r="F5" s="9" t="s">
        <v>502</v>
      </c>
      <c r="G5" s="9" t="s">
        <v>503</v>
      </c>
      <c r="H5" s="9" t="s">
        <v>504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4">
        <v>2.0</v>
      </c>
      <c r="B6" s="94" t="s">
        <v>505</v>
      </c>
      <c r="C6" s="10" t="s">
        <v>506</v>
      </c>
      <c r="D6" s="10" t="s">
        <v>507</v>
      </c>
      <c r="E6" s="10" t="s">
        <v>508</v>
      </c>
      <c r="F6" s="10" t="s">
        <v>509</v>
      </c>
      <c r="G6" s="10" t="s">
        <v>510</v>
      </c>
      <c r="H6" s="10" t="s">
        <v>511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7.5" customHeight="1">
      <c r="A7" s="93">
        <v>3.0</v>
      </c>
      <c r="B7" s="93" t="s">
        <v>512</v>
      </c>
      <c r="C7" s="9" t="s">
        <v>513</v>
      </c>
      <c r="D7" s="9" t="s">
        <v>514</v>
      </c>
      <c r="E7" s="9" t="s">
        <v>515</v>
      </c>
      <c r="F7" s="9" t="s">
        <v>516</v>
      </c>
      <c r="G7" s="9" t="s">
        <v>517</v>
      </c>
      <c r="H7" s="9" t="s">
        <v>518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4">
        <v>4.0</v>
      </c>
      <c r="B8" s="94" t="s">
        <v>519</v>
      </c>
      <c r="C8" s="10" t="s">
        <v>520</v>
      </c>
      <c r="D8" s="10" t="s">
        <v>521</v>
      </c>
      <c r="E8" s="10" t="s">
        <v>522</v>
      </c>
      <c r="F8" s="10" t="s">
        <v>523</v>
      </c>
      <c r="G8" s="10" t="s">
        <v>524</v>
      </c>
      <c r="H8" s="10" t="s">
        <v>525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95" t="s">
        <v>526</v>
      </c>
      <c r="B10" s="31"/>
      <c r="C10" s="31"/>
      <c r="D10" s="31"/>
      <c r="E10" s="31"/>
      <c r="F10" s="31"/>
      <c r="G10" s="31"/>
      <c r="H10" s="3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63" t="s">
        <v>2</v>
      </c>
      <c r="B11" s="63" t="s">
        <v>527</v>
      </c>
      <c r="C11" s="63" t="s">
        <v>317</v>
      </c>
      <c r="D11" s="63" t="s">
        <v>528</v>
      </c>
      <c r="E11" s="63" t="s">
        <v>529</v>
      </c>
      <c r="F11" s="63" t="s">
        <v>530</v>
      </c>
      <c r="G11" s="63" t="s">
        <v>531</v>
      </c>
      <c r="H11" s="63" t="s">
        <v>532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6">
        <v>1.0</v>
      </c>
      <c r="B12" s="9" t="s">
        <v>533</v>
      </c>
      <c r="C12" s="9" t="s">
        <v>534</v>
      </c>
      <c r="D12" s="9" t="s">
        <v>535</v>
      </c>
      <c r="E12" s="9" t="s">
        <v>536</v>
      </c>
      <c r="F12" s="9" t="s">
        <v>537</v>
      </c>
      <c r="G12" s="9" t="s">
        <v>538</v>
      </c>
      <c r="H12" s="9" t="s">
        <v>539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7">
        <v>2.0</v>
      </c>
      <c r="B13" s="10" t="s">
        <v>540</v>
      </c>
      <c r="C13" s="10" t="s">
        <v>541</v>
      </c>
      <c r="D13" s="10" t="s">
        <v>542</v>
      </c>
      <c r="E13" s="10" t="s">
        <v>543</v>
      </c>
      <c r="F13" s="10" t="s">
        <v>544</v>
      </c>
      <c r="G13" s="10" t="s">
        <v>545</v>
      </c>
      <c r="H13" s="10" t="s">
        <v>546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5.5" customHeight="1">
      <c r="A14" s="96">
        <v>3.0</v>
      </c>
      <c r="B14" s="9" t="s">
        <v>547</v>
      </c>
      <c r="C14" s="9" t="s">
        <v>548</v>
      </c>
      <c r="D14" s="9" t="s">
        <v>549</v>
      </c>
      <c r="E14" s="9" t="s">
        <v>550</v>
      </c>
      <c r="F14" s="9" t="s">
        <v>551</v>
      </c>
      <c r="G14" s="9" t="s">
        <v>552</v>
      </c>
      <c r="H14" s="9" t="s">
        <v>553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7">
        <v>4.0</v>
      </c>
      <c r="B15" s="10" t="s">
        <v>554</v>
      </c>
      <c r="C15" s="10" t="s">
        <v>555</v>
      </c>
      <c r="D15" s="10" t="s">
        <v>556</v>
      </c>
      <c r="E15" s="10" t="s">
        <v>557</v>
      </c>
      <c r="F15" s="10" t="s">
        <v>558</v>
      </c>
      <c r="G15" s="10" t="s">
        <v>559</v>
      </c>
      <c r="H15" s="10" t="s">
        <v>560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5.5" customHeight="1">
      <c r="A16" s="96">
        <v>5.0</v>
      </c>
      <c r="B16" s="9" t="s">
        <v>561</v>
      </c>
      <c r="C16" s="9" t="s">
        <v>562</v>
      </c>
      <c r="D16" s="9" t="s">
        <v>563</v>
      </c>
      <c r="E16" s="9" t="s">
        <v>564</v>
      </c>
      <c r="F16" s="9" t="s">
        <v>565</v>
      </c>
      <c r="G16" s="9" t="s">
        <v>566</v>
      </c>
      <c r="H16" s="9" t="s">
        <v>567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7">
        <v>6.0</v>
      </c>
      <c r="B17" s="10" t="s">
        <v>568</v>
      </c>
      <c r="C17" s="10" t="s">
        <v>569</v>
      </c>
      <c r="D17" s="10" t="s">
        <v>570</v>
      </c>
      <c r="E17" s="10" t="s">
        <v>571</v>
      </c>
      <c r="F17" s="10" t="s">
        <v>572</v>
      </c>
      <c r="G17" s="10" t="s">
        <v>573</v>
      </c>
      <c r="H17" s="10" t="s">
        <v>574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5.5" customHeight="1">
      <c r="A18" s="96">
        <v>7.0</v>
      </c>
      <c r="B18" s="9" t="s">
        <v>575</v>
      </c>
      <c r="C18" s="9" t="s">
        <v>576</v>
      </c>
      <c r="D18" s="9" t="s">
        <v>577</v>
      </c>
      <c r="E18" s="9" t="s">
        <v>578</v>
      </c>
      <c r="F18" s="9" t="s">
        <v>579</v>
      </c>
      <c r="G18" s="9" t="s">
        <v>580</v>
      </c>
      <c r="H18" s="9" t="s">
        <v>581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H1"/>
    <mergeCell ref="A2:H2"/>
    <mergeCell ref="A3:H3"/>
    <mergeCell ref="A10:H1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28D9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4.0"/>
    <col customWidth="1" min="3" max="4" width="14.0"/>
    <col customWidth="1" min="5" max="5" width="22.0"/>
    <col customWidth="1" min="6" max="6" width="18.0"/>
    <col customWidth="1" min="7" max="7" width="16.0"/>
    <col customWidth="1" min="8" max="9" width="14.0"/>
    <col customWidth="1" min="10" max="26" width="8.71"/>
  </cols>
  <sheetData>
    <row r="1" ht="27.75" customHeight="1">
      <c r="A1" s="69" t="s">
        <v>582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70" t="s">
        <v>583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98" t="s">
        <v>584</v>
      </c>
      <c r="B3" s="31"/>
      <c r="C3" s="31"/>
      <c r="D3" s="31"/>
      <c r="E3" s="31"/>
      <c r="F3" s="31"/>
      <c r="G3" s="31"/>
      <c r="H3" s="31"/>
      <c r="I3" s="32"/>
    </row>
    <row r="4" ht="18.0" customHeight="1">
      <c r="A4" s="99" t="s">
        <v>2</v>
      </c>
      <c r="B4" s="99" t="s">
        <v>585</v>
      </c>
      <c r="C4" s="99" t="s">
        <v>3</v>
      </c>
      <c r="D4" s="99" t="s">
        <v>586</v>
      </c>
      <c r="E4" s="99" t="s">
        <v>587</v>
      </c>
      <c r="F4" s="99" t="s">
        <v>588</v>
      </c>
      <c r="G4" s="99" t="s">
        <v>589</v>
      </c>
      <c r="H4" s="99" t="s">
        <v>66</v>
      </c>
      <c r="I4" s="99" t="s">
        <v>590</v>
      </c>
    </row>
    <row r="5" ht="43.5" customHeight="1">
      <c r="A5" s="100">
        <v>1.0</v>
      </c>
      <c r="B5" s="101" t="s">
        <v>591</v>
      </c>
      <c r="C5" s="102" t="s">
        <v>47</v>
      </c>
      <c r="D5" s="103" t="s">
        <v>592</v>
      </c>
      <c r="E5" s="9" t="s">
        <v>593</v>
      </c>
      <c r="F5" s="104" t="s">
        <v>594</v>
      </c>
      <c r="G5" s="105" t="s">
        <v>595</v>
      </c>
      <c r="H5" s="106" t="s">
        <v>596</v>
      </c>
      <c r="I5" s="107" t="s">
        <v>597</v>
      </c>
    </row>
    <row r="6" ht="43.5" customHeight="1">
      <c r="A6" s="100">
        <v>2.0</v>
      </c>
      <c r="B6" s="101" t="s">
        <v>598</v>
      </c>
      <c r="C6" s="102" t="s">
        <v>47</v>
      </c>
      <c r="D6" s="103" t="s">
        <v>592</v>
      </c>
      <c r="E6" s="9" t="s">
        <v>599</v>
      </c>
      <c r="F6" s="104" t="s">
        <v>53</v>
      </c>
      <c r="G6" s="105" t="s">
        <v>600</v>
      </c>
      <c r="H6" s="106" t="s">
        <v>596</v>
      </c>
      <c r="I6" s="107" t="s">
        <v>601</v>
      </c>
    </row>
    <row r="7" ht="43.5" customHeight="1">
      <c r="A7" s="100">
        <v>3.0</v>
      </c>
      <c r="B7" s="101" t="s">
        <v>602</v>
      </c>
      <c r="C7" s="102" t="s">
        <v>47</v>
      </c>
      <c r="D7" s="103" t="s">
        <v>592</v>
      </c>
      <c r="E7" s="9" t="s">
        <v>603</v>
      </c>
      <c r="F7" s="104" t="s">
        <v>604</v>
      </c>
      <c r="G7" s="105" t="s">
        <v>605</v>
      </c>
      <c r="H7" s="106" t="s">
        <v>596</v>
      </c>
      <c r="I7" s="107" t="s">
        <v>606</v>
      </c>
    </row>
    <row r="8" ht="43.5" customHeight="1">
      <c r="A8" s="100">
        <v>4.0</v>
      </c>
      <c r="B8" s="101" t="s">
        <v>607</v>
      </c>
      <c r="C8" s="102" t="s">
        <v>41</v>
      </c>
      <c r="D8" s="103" t="s">
        <v>592</v>
      </c>
      <c r="E8" s="9" t="s">
        <v>608</v>
      </c>
      <c r="F8" s="104" t="s">
        <v>24</v>
      </c>
      <c r="G8" s="105" t="s">
        <v>600</v>
      </c>
      <c r="H8" s="106" t="s">
        <v>596</v>
      </c>
      <c r="I8" s="107" t="s">
        <v>609</v>
      </c>
    </row>
    <row r="9" ht="43.5" customHeight="1">
      <c r="A9" s="106">
        <v>5.0</v>
      </c>
      <c r="B9" s="108" t="s">
        <v>610</v>
      </c>
      <c r="C9" s="109" t="s">
        <v>33</v>
      </c>
      <c r="D9" s="110" t="s">
        <v>611</v>
      </c>
      <c r="E9" s="9" t="s">
        <v>612</v>
      </c>
      <c r="F9" s="104" t="s">
        <v>39</v>
      </c>
      <c r="G9" s="105" t="s">
        <v>595</v>
      </c>
      <c r="H9" s="106" t="s">
        <v>596</v>
      </c>
      <c r="I9" s="107" t="s">
        <v>609</v>
      </c>
    </row>
    <row r="10" ht="43.5" customHeight="1">
      <c r="A10" s="106">
        <v>6.0</v>
      </c>
      <c r="B10" s="108" t="s">
        <v>613</v>
      </c>
      <c r="C10" s="109" t="s">
        <v>19</v>
      </c>
      <c r="D10" s="110" t="s">
        <v>611</v>
      </c>
      <c r="E10" s="9" t="s">
        <v>614</v>
      </c>
      <c r="F10" s="104" t="s">
        <v>615</v>
      </c>
      <c r="G10" s="105" t="s">
        <v>600</v>
      </c>
      <c r="H10" s="106" t="s">
        <v>596</v>
      </c>
      <c r="I10" s="107" t="s">
        <v>616</v>
      </c>
    </row>
    <row r="11" ht="43.5" customHeight="1">
      <c r="A11" s="106">
        <v>7.0</v>
      </c>
      <c r="B11" s="108" t="s">
        <v>617</v>
      </c>
      <c r="C11" s="109" t="s">
        <v>19</v>
      </c>
      <c r="D11" s="110" t="s">
        <v>611</v>
      </c>
      <c r="E11" s="9" t="s">
        <v>618</v>
      </c>
      <c r="F11" s="104" t="s">
        <v>619</v>
      </c>
      <c r="G11" s="105" t="s">
        <v>600</v>
      </c>
      <c r="H11" s="106" t="s">
        <v>596</v>
      </c>
      <c r="I11" s="107" t="s">
        <v>620</v>
      </c>
    </row>
    <row r="12" ht="43.5" customHeight="1">
      <c r="A12" s="106">
        <v>8.0</v>
      </c>
      <c r="B12" s="108" t="s">
        <v>621</v>
      </c>
      <c r="C12" s="109" t="s">
        <v>19</v>
      </c>
      <c r="D12" s="110" t="s">
        <v>611</v>
      </c>
      <c r="E12" s="9" t="s">
        <v>622</v>
      </c>
      <c r="F12" s="104" t="s">
        <v>623</v>
      </c>
      <c r="G12" s="105" t="s">
        <v>595</v>
      </c>
      <c r="H12" s="106" t="s">
        <v>596</v>
      </c>
      <c r="I12" s="107" t="s">
        <v>624</v>
      </c>
    </row>
    <row r="13" ht="43.5" customHeight="1">
      <c r="A13" s="111">
        <v>9.0</v>
      </c>
      <c r="B13" s="112" t="s">
        <v>625</v>
      </c>
      <c r="C13" s="113" t="s">
        <v>26</v>
      </c>
      <c r="D13" s="114" t="s">
        <v>626</v>
      </c>
      <c r="E13" s="9" t="s">
        <v>627</v>
      </c>
      <c r="F13" s="104" t="s">
        <v>615</v>
      </c>
      <c r="G13" s="105" t="s">
        <v>628</v>
      </c>
      <c r="H13" s="106" t="s">
        <v>596</v>
      </c>
      <c r="I13" s="107" t="s">
        <v>629</v>
      </c>
    </row>
    <row r="14" ht="43.5" customHeight="1">
      <c r="A14" s="111">
        <v>10.0</v>
      </c>
      <c r="B14" s="112" t="s">
        <v>630</v>
      </c>
      <c r="C14" s="113" t="s">
        <v>26</v>
      </c>
      <c r="D14" s="114" t="s">
        <v>626</v>
      </c>
      <c r="E14" s="9" t="s">
        <v>631</v>
      </c>
      <c r="F14" s="104" t="s">
        <v>619</v>
      </c>
      <c r="G14" s="105" t="s">
        <v>628</v>
      </c>
      <c r="H14" s="106" t="s">
        <v>596</v>
      </c>
      <c r="I14" s="107" t="s">
        <v>632</v>
      </c>
    </row>
    <row r="15" ht="43.5" customHeight="1">
      <c r="A15" s="111">
        <v>11.0</v>
      </c>
      <c r="B15" s="112" t="s">
        <v>633</v>
      </c>
      <c r="C15" s="113" t="s">
        <v>26</v>
      </c>
      <c r="D15" s="114" t="s">
        <v>626</v>
      </c>
      <c r="E15" s="9" t="s">
        <v>634</v>
      </c>
      <c r="F15" s="104" t="s">
        <v>635</v>
      </c>
      <c r="G15" s="105" t="s">
        <v>600</v>
      </c>
      <c r="H15" s="106" t="s">
        <v>596</v>
      </c>
      <c r="I15" s="107" t="s">
        <v>334</v>
      </c>
    </row>
    <row r="16" ht="43.5" customHeight="1">
      <c r="A16" s="111">
        <v>12.0</v>
      </c>
      <c r="B16" s="112" t="s">
        <v>636</v>
      </c>
      <c r="C16" s="113" t="s">
        <v>26</v>
      </c>
      <c r="D16" s="114" t="s">
        <v>626</v>
      </c>
      <c r="E16" s="9" t="s">
        <v>637</v>
      </c>
      <c r="F16" s="104" t="s">
        <v>638</v>
      </c>
      <c r="G16" s="105" t="s">
        <v>595</v>
      </c>
      <c r="H16" s="106" t="s">
        <v>596</v>
      </c>
      <c r="I16" s="107" t="s">
        <v>639</v>
      </c>
    </row>
    <row r="17" ht="43.5" customHeight="1">
      <c r="A17" s="115">
        <v>13.0</v>
      </c>
      <c r="B17" s="116" t="s">
        <v>640</v>
      </c>
      <c r="C17" s="117" t="s">
        <v>26</v>
      </c>
      <c r="D17" s="118" t="s">
        <v>641</v>
      </c>
      <c r="E17" s="9" t="s">
        <v>642</v>
      </c>
      <c r="F17" s="104" t="s">
        <v>643</v>
      </c>
      <c r="G17" s="105" t="s">
        <v>644</v>
      </c>
      <c r="H17" s="106" t="s">
        <v>596</v>
      </c>
      <c r="I17" s="107" t="s">
        <v>645</v>
      </c>
    </row>
    <row r="18" ht="43.5" customHeight="1">
      <c r="A18" s="115">
        <v>14.0</v>
      </c>
      <c r="B18" s="116" t="s">
        <v>646</v>
      </c>
      <c r="C18" s="117" t="s">
        <v>26</v>
      </c>
      <c r="D18" s="118" t="s">
        <v>641</v>
      </c>
      <c r="E18" s="9" t="s">
        <v>647</v>
      </c>
      <c r="F18" s="104" t="s">
        <v>638</v>
      </c>
      <c r="G18" s="105" t="s">
        <v>644</v>
      </c>
      <c r="H18" s="106" t="s">
        <v>596</v>
      </c>
      <c r="I18" s="107" t="s">
        <v>648</v>
      </c>
    </row>
    <row r="19" ht="43.5" customHeight="1">
      <c r="A19" s="115">
        <v>15.0</v>
      </c>
      <c r="B19" s="116" t="s">
        <v>649</v>
      </c>
      <c r="C19" s="117" t="s">
        <v>26</v>
      </c>
      <c r="D19" s="118" t="s">
        <v>641</v>
      </c>
      <c r="E19" s="9" t="s">
        <v>650</v>
      </c>
      <c r="F19" s="104" t="s">
        <v>651</v>
      </c>
      <c r="G19" s="105" t="s">
        <v>644</v>
      </c>
      <c r="H19" s="106" t="s">
        <v>596</v>
      </c>
      <c r="I19" s="107" t="s">
        <v>652</v>
      </c>
    </row>
    <row r="20" ht="43.5" customHeight="1">
      <c r="A20" s="115">
        <v>16.0</v>
      </c>
      <c r="B20" s="116" t="s">
        <v>653</v>
      </c>
      <c r="C20" s="117" t="s">
        <v>19</v>
      </c>
      <c r="D20" s="118" t="s">
        <v>641</v>
      </c>
      <c r="E20" s="9" t="s">
        <v>654</v>
      </c>
      <c r="F20" s="104" t="s">
        <v>619</v>
      </c>
      <c r="G20" s="105" t="s">
        <v>655</v>
      </c>
      <c r="H20" s="106" t="s">
        <v>596</v>
      </c>
      <c r="I20" s="107" t="s">
        <v>656</v>
      </c>
    </row>
    <row r="21" ht="43.5" customHeight="1">
      <c r="A21" s="119">
        <v>17.0</v>
      </c>
      <c r="B21" s="120" t="s">
        <v>657</v>
      </c>
      <c r="C21" s="121" t="s">
        <v>11</v>
      </c>
      <c r="D21" s="122" t="s">
        <v>658</v>
      </c>
      <c r="E21" s="9" t="s">
        <v>659</v>
      </c>
      <c r="F21" s="104" t="s">
        <v>17</v>
      </c>
      <c r="G21" s="105" t="s">
        <v>595</v>
      </c>
      <c r="H21" s="106" t="s">
        <v>596</v>
      </c>
      <c r="I21" s="107" t="s">
        <v>660</v>
      </c>
    </row>
    <row r="22" ht="43.5" customHeight="1">
      <c r="A22" s="119">
        <v>18.0</v>
      </c>
      <c r="B22" s="120" t="s">
        <v>661</v>
      </c>
      <c r="C22" s="121" t="s">
        <v>662</v>
      </c>
      <c r="D22" s="122" t="s">
        <v>658</v>
      </c>
      <c r="E22" s="9" t="s">
        <v>663</v>
      </c>
      <c r="F22" s="104" t="s">
        <v>664</v>
      </c>
      <c r="G22" s="105" t="s">
        <v>644</v>
      </c>
      <c r="H22" s="106" t="s">
        <v>596</v>
      </c>
      <c r="I22" s="107" t="s">
        <v>665</v>
      </c>
    </row>
    <row r="23" ht="43.5" customHeight="1">
      <c r="A23" s="119">
        <v>19.0</v>
      </c>
      <c r="B23" s="120" t="s">
        <v>666</v>
      </c>
      <c r="C23" s="121" t="s">
        <v>662</v>
      </c>
      <c r="D23" s="122" t="s">
        <v>658</v>
      </c>
      <c r="E23" s="9" t="s">
        <v>667</v>
      </c>
      <c r="F23" s="104" t="s">
        <v>668</v>
      </c>
      <c r="G23" s="105" t="s">
        <v>600</v>
      </c>
      <c r="H23" s="106" t="s">
        <v>596</v>
      </c>
      <c r="I23" s="107" t="s">
        <v>669</v>
      </c>
    </row>
    <row r="24" ht="15.75" customHeight="1"/>
    <row r="25" ht="21.75" customHeight="1">
      <c r="A25" s="123" t="s">
        <v>670</v>
      </c>
      <c r="B25" s="31"/>
      <c r="C25" s="31"/>
      <c r="D25" s="31"/>
      <c r="E25" s="31"/>
      <c r="F25" s="31"/>
      <c r="G25" s="31"/>
      <c r="H25" s="31"/>
      <c r="I25" s="32"/>
    </row>
    <row r="26" ht="18.0" customHeight="1">
      <c r="A26" s="99" t="s">
        <v>2</v>
      </c>
      <c r="B26" s="99" t="s">
        <v>671</v>
      </c>
      <c r="C26" s="99" t="s">
        <v>322</v>
      </c>
      <c r="D26" s="99" t="s">
        <v>672</v>
      </c>
      <c r="E26" s="99" t="s">
        <v>673</v>
      </c>
      <c r="F26" s="99" t="s">
        <v>674</v>
      </c>
      <c r="G26" s="99" t="s">
        <v>675</v>
      </c>
      <c r="H26" s="99" t="s">
        <v>676</v>
      </c>
      <c r="I26" s="99" t="s">
        <v>140</v>
      </c>
    </row>
    <row r="27" ht="36.0" customHeight="1">
      <c r="A27" s="124">
        <v>1.0</v>
      </c>
      <c r="B27" s="10" t="s">
        <v>677</v>
      </c>
      <c r="C27" s="66" t="s">
        <v>52</v>
      </c>
      <c r="D27" s="125" t="s">
        <v>678</v>
      </c>
      <c r="E27" s="10" t="s">
        <v>679</v>
      </c>
      <c r="F27" s="10" t="s">
        <v>680</v>
      </c>
      <c r="G27" s="10" t="s">
        <v>678</v>
      </c>
      <c r="H27" s="10" t="s">
        <v>681</v>
      </c>
      <c r="I27" s="10" t="s">
        <v>682</v>
      </c>
    </row>
    <row r="28" ht="36.0" customHeight="1">
      <c r="A28" s="126">
        <v>2.0</v>
      </c>
      <c r="B28" s="9" t="s">
        <v>683</v>
      </c>
      <c r="C28" s="67" t="s">
        <v>16</v>
      </c>
      <c r="D28" s="125" t="s">
        <v>678</v>
      </c>
      <c r="E28" s="9" t="s">
        <v>679</v>
      </c>
      <c r="F28" s="9" t="s">
        <v>684</v>
      </c>
      <c r="G28" s="9" t="s">
        <v>678</v>
      </c>
      <c r="H28" s="9" t="s">
        <v>685</v>
      </c>
      <c r="I28" s="9" t="s">
        <v>686</v>
      </c>
    </row>
    <row r="29" ht="36.0" customHeight="1">
      <c r="A29" s="124">
        <v>3.0</v>
      </c>
      <c r="B29" s="10" t="s">
        <v>687</v>
      </c>
      <c r="C29" s="67" t="s">
        <v>16</v>
      </c>
      <c r="D29" s="125" t="s">
        <v>678</v>
      </c>
      <c r="E29" s="10" t="s">
        <v>688</v>
      </c>
      <c r="F29" s="10" t="s">
        <v>689</v>
      </c>
      <c r="G29" s="10" t="s">
        <v>690</v>
      </c>
      <c r="H29" s="10" t="s">
        <v>691</v>
      </c>
      <c r="I29" s="10" t="s">
        <v>692</v>
      </c>
    </row>
    <row r="30" ht="36.0" customHeight="1">
      <c r="A30" s="126">
        <v>4.0</v>
      </c>
      <c r="B30" s="9" t="s">
        <v>693</v>
      </c>
      <c r="C30" s="76" t="s">
        <v>347</v>
      </c>
      <c r="D30" s="125" t="s">
        <v>678</v>
      </c>
      <c r="E30" s="9" t="s">
        <v>694</v>
      </c>
      <c r="F30" s="9" t="s">
        <v>684</v>
      </c>
      <c r="G30" s="9" t="s">
        <v>684</v>
      </c>
      <c r="H30" s="9" t="s">
        <v>695</v>
      </c>
      <c r="I30" s="9" t="s">
        <v>696</v>
      </c>
    </row>
    <row r="31" ht="36.0" customHeight="1">
      <c r="A31" s="124">
        <v>5.0</v>
      </c>
      <c r="B31" s="10" t="s">
        <v>697</v>
      </c>
      <c r="C31" s="76" t="s">
        <v>347</v>
      </c>
      <c r="D31" s="125" t="s">
        <v>678</v>
      </c>
      <c r="E31" s="10" t="s">
        <v>694</v>
      </c>
      <c r="F31" s="10" t="s">
        <v>684</v>
      </c>
      <c r="G31" s="10" t="s">
        <v>684</v>
      </c>
      <c r="H31" s="10" t="s">
        <v>695</v>
      </c>
      <c r="I31" s="10" t="s">
        <v>696</v>
      </c>
    </row>
    <row r="32" ht="36.0" customHeight="1">
      <c r="A32" s="126">
        <v>6.0</v>
      </c>
      <c r="B32" s="9" t="s">
        <v>698</v>
      </c>
      <c r="C32" s="127" t="s">
        <v>699</v>
      </c>
      <c r="D32" s="127" t="s">
        <v>684</v>
      </c>
      <c r="E32" s="9" t="s">
        <v>700</v>
      </c>
      <c r="F32" s="9" t="s">
        <v>701</v>
      </c>
      <c r="G32" s="9" t="s">
        <v>684</v>
      </c>
      <c r="H32" s="9" t="s">
        <v>702</v>
      </c>
      <c r="I32" s="9" t="s">
        <v>703</v>
      </c>
    </row>
    <row r="33" ht="36.0" customHeight="1">
      <c r="A33" s="124">
        <v>7.0</v>
      </c>
      <c r="B33" s="10" t="s">
        <v>704</v>
      </c>
      <c r="C33" s="68" t="s">
        <v>38</v>
      </c>
      <c r="D33" s="125" t="s">
        <v>678</v>
      </c>
      <c r="E33" s="10" t="s">
        <v>705</v>
      </c>
      <c r="F33" s="10" t="s">
        <v>684</v>
      </c>
      <c r="G33" s="10" t="s">
        <v>684</v>
      </c>
      <c r="H33" s="10" t="s">
        <v>706</v>
      </c>
      <c r="I33" s="10" t="s">
        <v>707</v>
      </c>
    </row>
    <row r="34" ht="36.0" customHeight="1">
      <c r="A34" s="126">
        <v>8.0</v>
      </c>
      <c r="B34" s="9" t="s">
        <v>708</v>
      </c>
      <c r="C34" s="67" t="s">
        <v>16</v>
      </c>
      <c r="D34" s="125" t="s">
        <v>678</v>
      </c>
      <c r="E34" s="9" t="s">
        <v>709</v>
      </c>
      <c r="F34" s="9" t="s">
        <v>684</v>
      </c>
      <c r="G34" s="9" t="s">
        <v>678</v>
      </c>
      <c r="H34" s="9" t="s">
        <v>710</v>
      </c>
      <c r="I34" s="9" t="s">
        <v>711</v>
      </c>
    </row>
    <row r="35" ht="36.0" customHeight="1">
      <c r="A35" s="124">
        <v>9.0</v>
      </c>
      <c r="B35" s="10" t="s">
        <v>712</v>
      </c>
      <c r="C35" s="68" t="s">
        <v>38</v>
      </c>
      <c r="D35" s="125" t="s">
        <v>678</v>
      </c>
      <c r="E35" s="10" t="s">
        <v>713</v>
      </c>
      <c r="F35" s="10" t="s">
        <v>684</v>
      </c>
      <c r="G35" s="10" t="s">
        <v>678</v>
      </c>
      <c r="H35" s="10" t="s">
        <v>685</v>
      </c>
      <c r="I35" s="10" t="s">
        <v>714</v>
      </c>
    </row>
    <row r="36" ht="36.0" customHeight="1">
      <c r="A36" s="126">
        <v>10.0</v>
      </c>
      <c r="B36" s="9" t="s">
        <v>715</v>
      </c>
      <c r="C36" s="67" t="s">
        <v>16</v>
      </c>
      <c r="D36" s="125" t="s">
        <v>678</v>
      </c>
      <c r="E36" s="9" t="s">
        <v>716</v>
      </c>
      <c r="F36" s="9" t="s">
        <v>684</v>
      </c>
      <c r="G36" s="9" t="s">
        <v>678</v>
      </c>
      <c r="H36" s="9" t="s">
        <v>685</v>
      </c>
      <c r="I36" s="9" t="s">
        <v>717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25:I25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0"/>
    <col customWidth="1" min="3" max="9" width="14.0"/>
    <col customWidth="1" min="10" max="10" width="2.0"/>
    <col customWidth="1" min="11" max="26" width="8.71"/>
  </cols>
  <sheetData>
    <row r="1" ht="31.5" customHeight="1">
      <c r="A1" s="1" t="s">
        <v>718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"/>
      <c r="B3" s="128" t="s">
        <v>719</v>
      </c>
      <c r="C3" s="32"/>
      <c r="D3" s="129" t="s">
        <v>720</v>
      </c>
      <c r="E3" s="32"/>
      <c r="F3" s="130" t="s">
        <v>721</v>
      </c>
      <c r="G3" s="32"/>
      <c r="H3" s="131" t="s">
        <v>722</v>
      </c>
      <c r="I3" s="3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32">
        <f>COUNTA('06_Roadmap_Governance'!B5:B23)</f>
        <v>19</v>
      </c>
      <c r="C4" s="133"/>
      <c r="D4" s="134">
        <f>COUNTIF('06_Roadmap_Governance'!H5:H23,"DONE")</f>
        <v>0</v>
      </c>
      <c r="E4" s="133"/>
      <c r="F4" s="135">
        <f>COUNTIF('06_Roadmap_Governance'!H5:H23,"IN PROGRESS")</f>
        <v>0</v>
      </c>
      <c r="G4" s="133"/>
      <c r="H4" s="136">
        <f>COUNTIF('06_Roadmap_Governance'!H5:H23,"BLOCKED")</f>
        <v>0</v>
      </c>
      <c r="I4" s="13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4"/>
      <c r="B5" s="137"/>
      <c r="C5" s="138"/>
      <c r="D5" s="137"/>
      <c r="E5" s="138"/>
      <c r="F5" s="137"/>
      <c r="G5" s="138"/>
      <c r="H5" s="137"/>
      <c r="I5" s="13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139" t="s">
        <v>596</v>
      </c>
      <c r="C7" s="32"/>
      <c r="D7" s="140" t="s">
        <v>723</v>
      </c>
      <c r="E7" s="32"/>
      <c r="F7" s="129" t="s">
        <v>724</v>
      </c>
      <c r="G7" s="32"/>
      <c r="H7" s="128" t="s">
        <v>725</v>
      </c>
      <c r="I7" s="3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4"/>
      <c r="B8" s="141">
        <f>COUNTIF('06_Roadmap_Governance'!H5:H23,"TODO")</f>
        <v>19</v>
      </c>
      <c r="C8" s="133"/>
      <c r="D8" s="142">
        <f>IFERROR(COUNTIF('06_Roadmap_Governance'!H5:H23,"DONE")/COUNTA('06_Roadmap_Governance'!B5:B23),0)</f>
        <v>0</v>
      </c>
      <c r="E8" s="133"/>
      <c r="F8" s="134">
        <f>COUNTA('04_L4_Skills_Workflows'!B4:B17)</f>
        <v>14</v>
      </c>
      <c r="G8" s="133"/>
      <c r="H8" s="132">
        <f>COUNTA('03_L5_Agent_Specs'!B4:B8)</f>
        <v>5</v>
      </c>
      <c r="I8" s="13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4"/>
      <c r="B9" s="137"/>
      <c r="C9" s="138"/>
      <c r="D9" s="137"/>
      <c r="E9" s="138"/>
      <c r="F9" s="137"/>
      <c r="G9" s="138"/>
      <c r="H9" s="137"/>
      <c r="I9" s="13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"/>
      <c r="B12" s="143" t="s">
        <v>726</v>
      </c>
      <c r="C12" s="31"/>
      <c r="D12" s="31"/>
      <c r="E12" s="31"/>
      <c r="F12" s="31"/>
      <c r="G12" s="31"/>
      <c r="H12" s="31"/>
      <c r="I12" s="3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/>
      <c r="B13" s="63" t="s">
        <v>3</v>
      </c>
      <c r="C13" s="63" t="s">
        <v>4</v>
      </c>
      <c r="D13" s="63" t="s">
        <v>727</v>
      </c>
      <c r="E13" s="63" t="s">
        <v>728</v>
      </c>
      <c r="F13" s="63" t="s">
        <v>729</v>
      </c>
      <c r="G13" s="63" t="s">
        <v>730</v>
      </c>
      <c r="H13" s="63" t="s">
        <v>66</v>
      </c>
      <c r="I13" s="63" t="s">
        <v>731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"/>
      <c r="B14" s="27" t="s">
        <v>47</v>
      </c>
      <c r="C14" s="144" t="s">
        <v>732</v>
      </c>
      <c r="D14" s="13">
        <v>3.0</v>
      </c>
      <c r="E14" s="83">
        <v>0.0</v>
      </c>
      <c r="F14" s="145">
        <f t="shared" ref="F14:F20" si="1">IFERROR(E14/D14,0)</f>
        <v>0</v>
      </c>
      <c r="G14" s="57" t="s">
        <v>684</v>
      </c>
      <c r="H14" s="54" t="s">
        <v>596</v>
      </c>
      <c r="I14" s="39" t="s">
        <v>53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"/>
      <c r="B15" s="24" t="s">
        <v>41</v>
      </c>
      <c r="C15" s="146" t="s">
        <v>733</v>
      </c>
      <c r="D15" s="13">
        <v>1.0</v>
      </c>
      <c r="E15" s="83">
        <v>0.0</v>
      </c>
      <c r="F15" s="145">
        <f t="shared" si="1"/>
        <v>0</v>
      </c>
      <c r="G15" s="48" t="s">
        <v>403</v>
      </c>
      <c r="H15" s="54" t="s">
        <v>596</v>
      </c>
      <c r="I15" s="39" t="s">
        <v>24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"/>
      <c r="B16" s="21" t="s">
        <v>33</v>
      </c>
      <c r="C16" s="147" t="s">
        <v>734</v>
      </c>
      <c r="D16" s="13">
        <v>1.0</v>
      </c>
      <c r="E16" s="83">
        <v>0.0</v>
      </c>
      <c r="F16" s="145">
        <f t="shared" si="1"/>
        <v>0</v>
      </c>
      <c r="G16" s="48" t="s">
        <v>403</v>
      </c>
      <c r="H16" s="54" t="s">
        <v>596</v>
      </c>
      <c r="I16" s="39" t="s">
        <v>39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"/>
      <c r="B17" s="18" t="s">
        <v>26</v>
      </c>
      <c r="C17" s="148" t="s">
        <v>27</v>
      </c>
      <c r="D17" s="13">
        <v>8.0</v>
      </c>
      <c r="E17" s="83">
        <v>0.0</v>
      </c>
      <c r="F17" s="145">
        <f t="shared" si="1"/>
        <v>0</v>
      </c>
      <c r="G17" s="48" t="s">
        <v>403</v>
      </c>
      <c r="H17" s="54" t="s">
        <v>596</v>
      </c>
      <c r="I17" s="39" t="s">
        <v>31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"/>
      <c r="B18" s="15" t="s">
        <v>19</v>
      </c>
      <c r="C18" s="149" t="s">
        <v>20</v>
      </c>
      <c r="D18" s="13">
        <v>5.0</v>
      </c>
      <c r="E18" s="83">
        <v>0.0</v>
      </c>
      <c r="F18" s="145">
        <f t="shared" si="1"/>
        <v>0</v>
      </c>
      <c r="G18" s="57" t="s">
        <v>684</v>
      </c>
      <c r="H18" s="54" t="s">
        <v>596</v>
      </c>
      <c r="I18" s="39" t="s">
        <v>615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7" t="s">
        <v>11</v>
      </c>
      <c r="C19" s="150" t="s">
        <v>12</v>
      </c>
      <c r="D19" s="13">
        <v>1.0</v>
      </c>
      <c r="E19" s="83">
        <v>0.0</v>
      </c>
      <c r="F19" s="145">
        <f t="shared" si="1"/>
        <v>0</v>
      </c>
      <c r="G19" s="48" t="s">
        <v>403</v>
      </c>
      <c r="H19" s="54" t="s">
        <v>596</v>
      </c>
      <c r="I19" s="39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151" t="s">
        <v>662</v>
      </c>
      <c r="C20" s="152" t="s">
        <v>735</v>
      </c>
      <c r="D20" s="13">
        <v>2.0</v>
      </c>
      <c r="E20" s="83">
        <v>0.0</v>
      </c>
      <c r="F20" s="145">
        <f t="shared" si="1"/>
        <v>0</v>
      </c>
      <c r="G20" s="48" t="s">
        <v>403</v>
      </c>
      <c r="H20" s="54" t="s">
        <v>596</v>
      </c>
      <c r="I20" s="39" t="s">
        <v>736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F4:G5"/>
    <mergeCell ref="H4:I5"/>
    <mergeCell ref="A1:J1"/>
    <mergeCell ref="B3:C3"/>
    <mergeCell ref="D3:E3"/>
    <mergeCell ref="F3:G3"/>
    <mergeCell ref="H3:I3"/>
    <mergeCell ref="B4:C5"/>
    <mergeCell ref="D4:E5"/>
    <mergeCell ref="H8:I9"/>
    <mergeCell ref="B12:I12"/>
    <mergeCell ref="B7:C7"/>
    <mergeCell ref="D7:E7"/>
    <mergeCell ref="F7:G7"/>
    <mergeCell ref="H7:I7"/>
    <mergeCell ref="B8:C9"/>
    <mergeCell ref="D8:E9"/>
    <mergeCell ref="F8:G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2026-04-28T04:53:48Z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